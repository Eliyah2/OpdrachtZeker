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swijzer" sheetId="1" state="visible" r:id="rId1"/>
    <sheet name="Aannames" sheetId="2" state="visible" r:id="rId2"/>
    <sheet name="Model" sheetId="3" state="visible" r:id="rId3"/>
    <sheet name="Scenario" sheetId="4" state="visible" r:id="rId4"/>
    <sheet name="Fas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 #,##0"/>
    <numFmt numFmtId="165" formatCode="0.0"/>
    <numFmt numFmtId="166" formatCode="€ #,##0;[Rood]-€ 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9" fontId="0" fillId="3" borderId="0" pivotButton="0" quotePrefix="0" xfId="0"/>
    <xf numFmtId="165" fontId="0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OpdrachtZeker — financieel model (12 maanden)</t>
        </is>
      </c>
    </row>
    <row r="2">
      <c r="A2" t="inlineStr"/>
    </row>
    <row r="3">
      <c r="A3" t="inlineStr">
        <is>
          <t>Strategie: eerst GRATIS BETA, daarna abonnementen zodra er betalende mensen zijn.</t>
        </is>
      </c>
    </row>
    <row r="4">
      <c r="A4" t="inlineStr"/>
    </row>
    <row r="5">
      <c r="A5" t="inlineStr">
        <is>
          <t>Hoe werkt dit model?</t>
        </is>
      </c>
    </row>
    <row r="6">
      <c r="A6" t="inlineStr"/>
    </row>
    <row r="7">
      <c r="A7" t="inlineStr">
        <is>
          <t>1. Blad 'Aannames' is de ENIGE plek waar je invoer wijzigt (gele cellen).</t>
        </is>
      </c>
    </row>
    <row r="8">
      <c r="A8" t="inlineStr">
        <is>
          <t xml:space="preserve">   - 'Laatste gratis beta-maand': tot en met deze maand is het product gratis (geen omzet).</t>
        </is>
      </c>
    </row>
    <row r="9">
      <c r="A9" t="inlineStr">
        <is>
          <t xml:space="preserve">   - 'Groei-boost': gratis beta trekt sneller nieuwe klanten aan.</t>
        </is>
      </c>
    </row>
    <row r="10">
      <c r="A10" t="inlineStr">
        <is>
          <t>2. Blad 'Model' rekent 12 maanden door: klanten, MRR, kosten, resultaat en kaspositie.</t>
        </is>
      </c>
    </row>
    <row r="11">
      <c r="A11" t="inlineStr">
        <is>
          <t xml:space="preserve">   Alle maandcellen zijn formules en herberekenen automatisch in Excel/Sheets.</t>
        </is>
      </c>
    </row>
    <row r="12">
      <c r="A12" t="inlineStr">
        <is>
          <t>3. Blad 'Scenario' vergelijkt pessimistisch / base / optimistisch, inclusief</t>
        </is>
      </c>
    </row>
    <row r="13">
      <c r="A13" t="inlineStr">
        <is>
          <t xml:space="preserve">   eerste break-even maand en minimaal benodigd startkapitaal.</t>
        </is>
      </c>
    </row>
    <row r="14">
      <c r="A14" t="inlineStr">
        <is>
          <t>4. Blad 'Fasen' koppelt de modeluitkomsten aan de fasen uit het businessplan.</t>
        </is>
      </c>
    </row>
    <row r="15">
      <c r="A15" t="inlineStr"/>
    </row>
    <row r="16">
      <c r="A16" t="inlineStr">
        <is>
          <t>Let op: maand 1 = start van de verkoop (na validatiefase). Alle bedragen in euro's.</t>
        </is>
      </c>
    </row>
    <row r="17">
      <c r="A17" t="inlineStr">
        <is>
          <t>Afronding is half-up (gelijk aan Excel ROUND), zodat xlsx, dashboard en mirror kloppen.</t>
        </is>
      </c>
    </row>
    <row r="18">
      <c r="A18" t="inlineStr">
        <is>
          <t>Dit is een prognose- en beslissingsinstrument, geen garantie.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70" customWidth="1" min="4" max="4"/>
  </cols>
  <sheetData>
    <row r="1">
      <c r="A1" s="1" t="inlineStr">
        <is>
          <t>Aannames (base case) — gele cellen mag je aanpassen</t>
        </is>
      </c>
    </row>
    <row r="2">
      <c r="A2" s="2" t="inlineStr">
        <is>
          <t>Parameter</t>
        </is>
      </c>
      <c r="B2" s="2" t="inlineStr">
        <is>
          <t>Waarde</t>
        </is>
      </c>
      <c r="C2" s="2" t="inlineStr">
        <is>
          <t>Eenheid</t>
        </is>
      </c>
      <c r="D2" s="2" t="inlineStr">
        <is>
          <t>Toelichting</t>
        </is>
      </c>
    </row>
    <row r="3">
      <c r="A3" t="inlineStr">
        <is>
          <t>Startkapitaal</t>
        </is>
      </c>
      <c r="B3" s="3" t="n">
        <v>75000</v>
      </c>
      <c r="C3" t="inlineStr">
        <is>
          <t>EUR</t>
        </is>
      </c>
      <c r="D3" t="inlineStr">
        <is>
          <t>Eigen middelen + kleine lening</t>
        </is>
      </c>
    </row>
    <row r="4">
      <c r="A4" t="inlineStr">
        <is>
          <t>Arpu</t>
        </is>
      </c>
      <c r="B4" s="3" t="n">
        <v>230</v>
      </c>
      <c r="C4" t="inlineStr">
        <is>
          <t>EUR/mnd</t>
        </is>
      </c>
      <c r="D4" t="inlineStr">
        <is>
          <t>Gemiddeld abonnement opdrachtgever (mix 60% x 149 / 30% x 299 / 10% x 499)</t>
        </is>
      </c>
    </row>
    <row r="5">
      <c r="A5" t="inlineStr">
        <is>
          <t>Pro prijs</t>
        </is>
      </c>
      <c r="B5" s="3" t="n">
        <v>12</v>
      </c>
      <c r="C5" t="inlineStr">
        <is>
          <t>EUR/mnd</t>
        </is>
      </c>
      <c r="D5" t="inlineStr">
        <is>
          <t>ZZP Pro-abonnement</t>
        </is>
      </c>
    </row>
    <row r="6">
      <c r="A6" t="inlineStr">
        <is>
          <t>Conversie pro</t>
        </is>
      </c>
      <c r="B6" s="4" t="n">
        <v>0.04</v>
      </c>
      <c r="C6" t="inlineStr">
        <is>
          <t>%</t>
        </is>
      </c>
      <c r="D6" t="inlineStr">
        <is>
          <t>Van nieuwe gratis ZZP-leden naar betalend Pro</t>
        </is>
      </c>
    </row>
    <row r="7">
      <c r="A7" t="inlineStr">
        <is>
          <t>Churn</t>
        </is>
      </c>
      <c r="B7" s="4" t="n">
        <v>0.03</v>
      </c>
      <c r="C7" t="inlineStr">
        <is>
          <t>%/mnd</t>
        </is>
      </c>
      <c r="D7" t="inlineStr">
        <is>
          <t>Maandelijkse churn opdrachtgevers</t>
        </is>
      </c>
    </row>
    <row r="8">
      <c r="A8" t="inlineStr">
        <is>
          <t>Churn pro</t>
        </is>
      </c>
      <c r="B8" s="4" t="n">
        <v>0.02</v>
      </c>
      <c r="C8" t="inlineStr">
        <is>
          <t>%/mnd</t>
        </is>
      </c>
      <c r="D8" t="inlineStr">
        <is>
          <t>Maandelijkse churn ZZP Pro</t>
        </is>
      </c>
    </row>
    <row r="9">
      <c r="A9" t="inlineStr">
        <is>
          <t>Cac</t>
        </is>
      </c>
      <c r="B9" s="3" t="n">
        <v>600</v>
      </c>
      <c r="C9" t="inlineStr">
        <is>
          <t>EUR</t>
        </is>
      </c>
      <c r="D9" t="inlineStr">
        <is>
          <t>Acquisitiekosten per opdrachtgever (marketing)</t>
        </is>
      </c>
    </row>
    <row r="10">
      <c r="A10" t="inlineStr">
        <is>
          <t>Sales new</t>
        </is>
      </c>
      <c r="B10" s="5" t="n">
        <v>2</v>
      </c>
      <c r="C10" t="inlineStr">
        <is>
          <t>per mnd</t>
        </is>
      </c>
      <c r="D10" t="inlineStr">
        <is>
          <t>Nieuwe opdrachtgevers via directe sales (vanaf mnd 7)</t>
        </is>
      </c>
    </row>
    <row r="11">
      <c r="A11" t="inlineStr">
        <is>
          <t>Commissie</t>
        </is>
      </c>
      <c r="B11" s="3" t="n">
        <v>15</v>
      </c>
      <c r="C11" t="inlineStr">
        <is>
          <t>EUR/mnd</t>
        </is>
      </c>
      <c r="D11" t="inlineStr">
        <is>
          <t>Commissie-inkomsten per actieve opdrachtgever (vanaf mnd 4)</t>
        </is>
      </c>
    </row>
    <row r="12">
      <c r="A12" t="inlineStr">
        <is>
          <t>Salaris</t>
        </is>
      </c>
      <c r="B12" s="3" t="n">
        <v>5000</v>
      </c>
      <c r="C12" t="inlineStr">
        <is>
          <t>EUR/mnd</t>
        </is>
      </c>
      <c r="D12" t="inlineStr">
        <is>
          <t>Oprichtersalaris 2 x 2.500 (bootstrapped)</t>
        </is>
      </c>
    </row>
    <row r="13">
      <c r="A13" t="inlineStr">
        <is>
          <t>Sales hire</t>
        </is>
      </c>
      <c r="B13" s="3" t="n">
        <v>4500</v>
      </c>
      <c r="C13" t="inlineStr">
        <is>
          <t>EUR/mnd</t>
        </is>
      </c>
      <c r="D13" t="inlineStr">
        <is>
          <t>Sales-hire (vanaf mnd 7)</t>
        </is>
      </c>
    </row>
    <row r="14">
      <c r="A14" t="inlineStr">
        <is>
          <t>Cloud</t>
        </is>
      </c>
      <c r="B14" s="3" t="n">
        <v>500</v>
      </c>
      <c r="C14" t="inlineStr">
        <is>
          <t>EUR/mnd</t>
        </is>
      </c>
      <c r="D14" t="inlineStr">
        <is>
          <t>Cloud/AI basiskosten</t>
        </is>
      </c>
    </row>
    <row r="15">
      <c r="A15" t="inlineStr">
        <is>
          <t>Cloud klant</t>
        </is>
      </c>
      <c r="B15" s="3" t="n">
        <v>2</v>
      </c>
      <c r="C15" t="inlineStr">
        <is>
          <t>EUR/mnd</t>
        </is>
      </c>
      <c r="D15" t="inlineStr">
        <is>
          <t>Cloud/AI per actieve opdrachtgever</t>
        </is>
      </c>
    </row>
    <row r="16">
      <c r="A16" t="inlineStr">
        <is>
          <t>Tooling</t>
        </is>
      </c>
      <c r="B16" s="3" t="n">
        <v>400</v>
      </c>
      <c r="C16" t="inlineStr">
        <is>
          <t>EUR/mnd</t>
        </is>
      </c>
      <c r="D16" t="inlineStr">
        <is>
          <t>Tooling/kantoor/verzekering</t>
        </is>
      </c>
    </row>
    <row r="17">
      <c r="A17" t="inlineStr">
        <is>
          <t>Juridisch</t>
        </is>
      </c>
      <c r="B17" s="3" t="n">
        <v>2500</v>
      </c>
      <c r="C17" t="inlineStr">
        <is>
          <t>EUR</t>
        </is>
      </c>
      <c r="D17" t="inlineStr">
        <is>
          <t>Eenmalige juridische setup (maand 2)</t>
        </is>
      </c>
    </row>
    <row r="18">
      <c r="A18" t="inlineStr">
        <is>
          <t>Mkt1</t>
        </is>
      </c>
      <c r="B18" s="3" t="n">
        <v>1000</v>
      </c>
      <c r="C18" t="inlineStr">
        <is>
          <t>EUR/mnd</t>
        </is>
      </c>
      <c r="D18" t="inlineStr">
        <is>
          <t>Marketingbudget maand 1-3</t>
        </is>
      </c>
    </row>
    <row r="19">
      <c r="A19" t="inlineStr">
        <is>
          <t>Mkt2</t>
        </is>
      </c>
      <c r="B19" s="3" t="n">
        <v>2000</v>
      </c>
      <c r="C19" t="inlineStr">
        <is>
          <t>EUR/mnd</t>
        </is>
      </c>
      <c r="D19" t="inlineStr">
        <is>
          <t>Marketingbudget maand 4-6</t>
        </is>
      </c>
    </row>
    <row r="20">
      <c r="A20" t="inlineStr">
        <is>
          <t>Mkt3</t>
        </is>
      </c>
      <c r="B20" s="3" t="n">
        <v>3000</v>
      </c>
      <c r="C20" t="inlineStr">
        <is>
          <t>EUR/mnd</t>
        </is>
      </c>
      <c r="D20" t="inlineStr">
        <is>
          <t>Marketingbudget maand 7-12</t>
        </is>
      </c>
    </row>
    <row r="21">
      <c r="A21" t="inlineStr">
        <is>
          <t>Marge</t>
        </is>
      </c>
      <c r="B21" s="4" t="n">
        <v>0.8</v>
      </c>
      <c r="C21" t="inlineStr">
        <is>
          <t>%</t>
        </is>
      </c>
      <c r="D21" t="inlineStr">
        <is>
          <t>Bruto-marge (voor LTV)</t>
        </is>
      </c>
    </row>
    <row r="22">
      <c r="A22" t="inlineStr">
        <is>
          <t>Beta einde</t>
        </is>
      </c>
      <c r="B22" s="5" t="n">
        <v>3</v>
      </c>
      <c r="C22" t="inlineStr">
        <is>
          <t>maand</t>
        </is>
      </c>
      <c r="D22" t="inlineStr">
        <is>
          <t>Laatste gratis beta-maand (0 = meteen betaald)</t>
        </is>
      </c>
    </row>
    <row r="23">
      <c r="A23" t="inlineStr">
        <is>
          <t>Beta boost</t>
        </is>
      </c>
      <c r="B23" s="5" t="n">
        <v>1.5</v>
      </c>
      <c r="C23" t="inlineStr">
        <is>
          <t>x</t>
        </is>
      </c>
      <c r="D23" t="inlineStr">
        <is>
          <t>Groei-boost nieuwe klanten tijdens gratis beta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Model — 12 maanden (maand 1 = start verkoop; maand 1 t/m beta = gratis)</t>
        </is>
      </c>
    </row>
    <row r="2">
      <c r="B2" s="6" t="inlineStr">
        <is>
          <t>Formules op basis van blad Aannames</t>
        </is>
      </c>
    </row>
    <row r="3">
      <c r="A3" s="7" t="inlineStr">
        <is>
          <t>Maand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</row>
    <row r="4">
      <c r="A4" t="inlineStr">
        <is>
          <t>Beta-fase? (1 = gratis, 0 = betaald)</t>
        </is>
      </c>
      <c r="C4">
        <f>IF(C$3&lt;=Aannames!$B$22,1,0)</f>
        <v/>
      </c>
      <c r="D4">
        <f>IF(D$3&lt;=Aannames!$B$22,1,0)</f>
        <v/>
      </c>
      <c r="E4">
        <f>IF(E$3&lt;=Aannames!$B$22,1,0)</f>
        <v/>
      </c>
      <c r="F4">
        <f>IF(F$3&lt;=Aannames!$B$22,1,0)</f>
        <v/>
      </c>
      <c r="G4">
        <f>IF(G$3&lt;=Aannames!$B$22,1,0)</f>
        <v/>
      </c>
      <c r="H4">
        <f>IF(H$3&lt;=Aannames!$B$22,1,0)</f>
        <v/>
      </c>
      <c r="I4">
        <f>IF(I$3&lt;=Aannames!$B$22,1,0)</f>
        <v/>
      </c>
      <c r="J4">
        <f>IF(J$3&lt;=Aannames!$B$22,1,0)</f>
        <v/>
      </c>
      <c r="K4">
        <f>IF(K$3&lt;=Aannames!$B$22,1,0)</f>
        <v/>
      </c>
      <c r="L4">
        <f>IF(L$3&lt;=Aannames!$B$22,1,0)</f>
        <v/>
      </c>
      <c r="M4">
        <f>IF(M$3&lt;=Aannames!$B$22,1,0)</f>
        <v/>
      </c>
      <c r="N4">
        <f>IF(N$3&lt;=Aannames!$B$22,1,0)</f>
        <v/>
      </c>
    </row>
    <row r="5">
      <c r="A5" s="8" t="inlineStr">
        <is>
          <t>INPUT Marketingbudget</t>
        </is>
      </c>
      <c r="C5" s="9">
        <f>IF(C$3&lt;=3,Aannames!$B$18,IF(C$3&lt;=6,Aannames!$B$19,Aannames!$B$20))</f>
        <v/>
      </c>
      <c r="D5" s="9">
        <f>IF(D$3&lt;=3,Aannames!$B$18,IF(D$3&lt;=6,Aannames!$B$19,Aannames!$B$20))</f>
        <v/>
      </c>
      <c r="E5" s="9">
        <f>IF(E$3&lt;=3,Aannames!$B$18,IF(E$3&lt;=6,Aannames!$B$19,Aannames!$B$20))</f>
        <v/>
      </c>
      <c r="F5" s="9">
        <f>IF(F$3&lt;=3,Aannames!$B$18,IF(F$3&lt;=6,Aannames!$B$19,Aannames!$B$20))</f>
        <v/>
      </c>
      <c r="G5" s="9">
        <f>IF(G$3&lt;=3,Aannames!$B$18,IF(G$3&lt;=6,Aannames!$B$19,Aannames!$B$20))</f>
        <v/>
      </c>
      <c r="H5" s="9">
        <f>IF(H$3&lt;=3,Aannames!$B$18,IF(H$3&lt;=6,Aannames!$B$19,Aannames!$B$20))</f>
        <v/>
      </c>
      <c r="I5" s="9">
        <f>IF(I$3&lt;=3,Aannames!$B$18,IF(I$3&lt;=6,Aannames!$B$19,Aannames!$B$20))</f>
        <v/>
      </c>
      <c r="J5" s="9">
        <f>IF(J$3&lt;=3,Aannames!$B$18,IF(J$3&lt;=6,Aannames!$B$19,Aannames!$B$20))</f>
        <v/>
      </c>
      <c r="K5" s="9">
        <f>IF(K$3&lt;=3,Aannames!$B$18,IF(K$3&lt;=6,Aannames!$B$19,Aannames!$B$20))</f>
        <v/>
      </c>
      <c r="L5" s="9">
        <f>IF(L$3&lt;=3,Aannames!$B$18,IF(L$3&lt;=6,Aannames!$B$19,Aannames!$B$20))</f>
        <v/>
      </c>
      <c r="M5" s="9">
        <f>IF(M$3&lt;=3,Aannames!$B$18,IF(M$3&lt;=6,Aannames!$B$19,Aannames!$B$20))</f>
        <v/>
      </c>
      <c r="N5" s="9">
        <f>IF(N$3&lt;=3,Aannames!$B$18,IF(N$3&lt;=6,Aannames!$B$19,Aannames!$B$20))</f>
        <v/>
      </c>
    </row>
    <row r="6">
      <c r="A6" s="8" t="inlineStr">
        <is>
          <t>INPUT Nieuwe gratis ZZP-leden</t>
        </is>
      </c>
      <c r="C6" s="8" t="n">
        <v>50</v>
      </c>
      <c r="D6" s="8" t="n">
        <v>70</v>
      </c>
      <c r="E6" s="8" t="n">
        <v>90</v>
      </c>
      <c r="F6" s="8" t="n">
        <v>110</v>
      </c>
      <c r="G6" s="8" t="n">
        <v>140</v>
      </c>
      <c r="H6" s="8" t="n">
        <v>170</v>
      </c>
      <c r="I6" s="8" t="n">
        <v>200</v>
      </c>
      <c r="J6" s="8" t="n">
        <v>240</v>
      </c>
      <c r="K6" s="8" t="n">
        <v>280</v>
      </c>
      <c r="L6" s="8" t="n">
        <v>320</v>
      </c>
      <c r="M6" s="8" t="n">
        <v>370</v>
      </c>
      <c r="N6" s="8" t="n">
        <v>420</v>
      </c>
    </row>
    <row r="7">
      <c r="A7" t="inlineStr">
        <is>
          <t>Nieuwe opdrachtgevers (marketing)</t>
        </is>
      </c>
      <c r="C7">
        <f>ROUND(C5/Aannames!$B$9*IF(C$3&lt;=Aannames!$B$22,Aannames!$B$23,1),0)</f>
        <v/>
      </c>
      <c r="D7">
        <f>ROUND(D5/Aannames!$B$9*IF(D$3&lt;=Aannames!$B$22,Aannames!$B$23,1),0)</f>
        <v/>
      </c>
      <c r="E7">
        <f>ROUND(E5/Aannames!$B$9*IF(E$3&lt;=Aannames!$B$22,Aannames!$B$23,1),0)</f>
        <v/>
      </c>
      <c r="F7">
        <f>ROUND(F5/Aannames!$B$9*IF(F$3&lt;=Aannames!$B$22,Aannames!$B$23,1),0)</f>
        <v/>
      </c>
      <c r="G7">
        <f>ROUND(G5/Aannames!$B$9*IF(G$3&lt;=Aannames!$B$22,Aannames!$B$23,1),0)</f>
        <v/>
      </c>
      <c r="H7">
        <f>ROUND(H5/Aannames!$B$9*IF(H$3&lt;=Aannames!$B$22,Aannames!$B$23,1),0)</f>
        <v/>
      </c>
      <c r="I7">
        <f>ROUND(I5/Aannames!$B$9*IF(I$3&lt;=Aannames!$B$22,Aannames!$B$23,1),0)</f>
        <v/>
      </c>
      <c r="J7">
        <f>ROUND(J5/Aannames!$B$9*IF(J$3&lt;=Aannames!$B$22,Aannames!$B$23,1),0)</f>
        <v/>
      </c>
      <c r="K7">
        <f>ROUND(K5/Aannames!$B$9*IF(K$3&lt;=Aannames!$B$22,Aannames!$B$23,1),0)</f>
        <v/>
      </c>
      <c r="L7">
        <f>ROUND(L5/Aannames!$B$9*IF(L$3&lt;=Aannames!$B$22,Aannames!$B$23,1),0)</f>
        <v/>
      </c>
      <c r="M7">
        <f>ROUND(M5/Aannames!$B$9*IF(M$3&lt;=Aannames!$B$22,Aannames!$B$23,1),0)</f>
        <v/>
      </c>
      <c r="N7">
        <f>ROUND(N5/Aannames!$B$9*IF(N$3&lt;=Aannames!$B$22,Aannames!$B$23,1),0)</f>
        <v/>
      </c>
    </row>
    <row r="8">
      <c r="A8" s="8" t="inlineStr">
        <is>
          <t>INPUT Nieuwe opdrachtgevers (directe sales)</t>
        </is>
      </c>
      <c r="C8" s="8">
        <f>IF(C$3&gt;=7,Aannames!$B$10,0)</f>
        <v/>
      </c>
      <c r="D8" s="8">
        <f>IF(D$3&gt;=7,Aannames!$B$10,0)</f>
        <v/>
      </c>
      <c r="E8" s="8">
        <f>IF(E$3&gt;=7,Aannames!$B$10,0)</f>
        <v/>
      </c>
      <c r="F8" s="8">
        <f>IF(F$3&gt;=7,Aannames!$B$10,0)</f>
        <v/>
      </c>
      <c r="G8" s="8">
        <f>IF(G$3&gt;=7,Aannames!$B$10,0)</f>
        <v/>
      </c>
      <c r="H8" s="8">
        <f>IF(H$3&gt;=7,Aannames!$B$10,0)</f>
        <v/>
      </c>
      <c r="I8" s="8">
        <f>IF(I$3&gt;=7,Aannames!$B$10,0)</f>
        <v/>
      </c>
      <c r="J8" s="8">
        <f>IF(J$3&gt;=7,Aannames!$B$10,0)</f>
        <v/>
      </c>
      <c r="K8" s="8">
        <f>IF(K$3&gt;=7,Aannames!$B$10,0)</f>
        <v/>
      </c>
      <c r="L8" s="8">
        <f>IF(L$3&gt;=7,Aannames!$B$10,0)</f>
        <v/>
      </c>
      <c r="M8" s="8">
        <f>IF(M$3&gt;=7,Aannames!$B$10,0)</f>
        <v/>
      </c>
      <c r="N8" s="8">
        <f>IF(N$3&gt;=7,Aannames!$B$10,0)</f>
        <v/>
      </c>
    </row>
    <row r="9">
      <c r="A9" t="inlineStr">
        <is>
          <t>Churn opdrachtgevers</t>
        </is>
      </c>
      <c r="C9">
        <f>IF(C$3=1,0,ROUND(B10*Aannames!$B$7,0))</f>
        <v/>
      </c>
      <c r="D9">
        <f>IF(D$3=1,0,ROUND(C10*Aannames!$B$7,0))</f>
        <v/>
      </c>
      <c r="E9">
        <f>IF(E$3=1,0,ROUND(D10*Aannames!$B$7,0))</f>
        <v/>
      </c>
      <c r="F9">
        <f>IF(F$3=1,0,ROUND(E10*Aannames!$B$7,0))</f>
        <v/>
      </c>
      <c r="G9">
        <f>IF(G$3=1,0,ROUND(F10*Aannames!$B$7,0))</f>
        <v/>
      </c>
      <c r="H9">
        <f>IF(H$3=1,0,ROUND(G10*Aannames!$B$7,0))</f>
        <v/>
      </c>
      <c r="I9">
        <f>IF(I$3=1,0,ROUND(H10*Aannames!$B$7,0))</f>
        <v/>
      </c>
      <c r="J9">
        <f>IF(J$3=1,0,ROUND(I10*Aannames!$B$7,0))</f>
        <v/>
      </c>
      <c r="K9">
        <f>IF(K$3=1,0,ROUND(J10*Aannames!$B$7,0))</f>
        <v/>
      </c>
      <c r="L9">
        <f>IF(L$3=1,0,ROUND(K10*Aannames!$B$7,0))</f>
        <v/>
      </c>
      <c r="M9">
        <f>IF(M$3=1,0,ROUND(L10*Aannames!$B$7,0))</f>
        <v/>
      </c>
      <c r="N9">
        <f>IF(N$3=1,0,ROUND(M10*Aannames!$B$7,0))</f>
        <v/>
      </c>
    </row>
    <row r="10">
      <c r="A10" t="inlineStr">
        <is>
          <t>Actieve opdrachtgevers (eind)</t>
        </is>
      </c>
      <c r="C10">
        <f>C7+C8-C9</f>
        <v/>
      </c>
      <c r="D10">
        <f>C10+D7+D8-D9</f>
        <v/>
      </c>
      <c r="E10">
        <f>D10+E7+E8-E9</f>
        <v/>
      </c>
      <c r="F10">
        <f>E10+F7+F8-F9</f>
        <v/>
      </c>
      <c r="G10">
        <f>F10+G7+G8-G9</f>
        <v/>
      </c>
      <c r="H10">
        <f>G10+H7+H8-H9</f>
        <v/>
      </c>
      <c r="I10">
        <f>H10+I7+I8-I9</f>
        <v/>
      </c>
      <c r="J10">
        <f>I10+J7+J8-J9</f>
        <v/>
      </c>
      <c r="K10">
        <f>J10+K7+K8-K9</f>
        <v/>
      </c>
      <c r="L10">
        <f>K10+L7+L8-L9</f>
        <v/>
      </c>
      <c r="M10">
        <f>L10+M7+M8-M9</f>
        <v/>
      </c>
      <c r="N10">
        <f>M10+N7+N8-N9</f>
        <v/>
      </c>
    </row>
    <row r="11">
      <c r="A11" t="inlineStr">
        <is>
          <t>Cumulatief gratis ZZP-leden</t>
        </is>
      </c>
      <c r="C11">
        <f>C6</f>
        <v/>
      </c>
      <c r="D11">
        <f>C11+D6</f>
        <v/>
      </c>
      <c r="E11">
        <f>D11+E6</f>
        <v/>
      </c>
      <c r="F11">
        <f>E11+F6</f>
        <v/>
      </c>
      <c r="G11">
        <f>F11+G6</f>
        <v/>
      </c>
      <c r="H11">
        <f>G11+H6</f>
        <v/>
      </c>
      <c r="I11">
        <f>H11+I6</f>
        <v/>
      </c>
      <c r="J11">
        <f>I11+J6</f>
        <v/>
      </c>
      <c r="K11">
        <f>J11+K6</f>
        <v/>
      </c>
      <c r="L11">
        <f>K11+L6</f>
        <v/>
      </c>
      <c r="M11">
        <f>L11+M6</f>
        <v/>
      </c>
      <c r="N11">
        <f>M11+N6</f>
        <v/>
      </c>
    </row>
    <row r="12">
      <c r="A12" t="inlineStr">
        <is>
          <t>Nieuwe ZZP Pro</t>
        </is>
      </c>
      <c r="C12">
        <f>ROUND(C6*Aannames!$B$6,0)</f>
        <v/>
      </c>
      <c r="D12">
        <f>ROUND(D6*Aannames!$B$6,0)</f>
        <v/>
      </c>
      <c r="E12">
        <f>ROUND(E6*Aannames!$B$6,0)</f>
        <v/>
      </c>
      <c r="F12">
        <f>ROUND(F6*Aannames!$B$6,0)</f>
        <v/>
      </c>
      <c r="G12">
        <f>ROUND(G6*Aannames!$B$6,0)</f>
        <v/>
      </c>
      <c r="H12">
        <f>ROUND(H6*Aannames!$B$6,0)</f>
        <v/>
      </c>
      <c r="I12">
        <f>ROUND(I6*Aannames!$B$6,0)</f>
        <v/>
      </c>
      <c r="J12">
        <f>ROUND(J6*Aannames!$B$6,0)</f>
        <v/>
      </c>
      <c r="K12">
        <f>ROUND(K6*Aannames!$B$6,0)</f>
        <v/>
      </c>
      <c r="L12">
        <f>ROUND(L6*Aannames!$B$6,0)</f>
        <v/>
      </c>
      <c r="M12">
        <f>ROUND(M6*Aannames!$B$6,0)</f>
        <v/>
      </c>
      <c r="N12">
        <f>ROUND(N6*Aannames!$B$6,0)</f>
        <v/>
      </c>
    </row>
    <row r="13">
      <c r="A13" t="inlineStr">
        <is>
          <t>Churn ZZP Pro</t>
        </is>
      </c>
      <c r="C13">
        <f>IF(C$3=1,0,ROUND(B14*Aannames!$B$8,0))</f>
        <v/>
      </c>
      <c r="D13">
        <f>IF(D$3=1,0,ROUND(C14*Aannames!$B$8,0))</f>
        <v/>
      </c>
      <c r="E13">
        <f>IF(E$3=1,0,ROUND(D14*Aannames!$B$8,0))</f>
        <v/>
      </c>
      <c r="F13">
        <f>IF(F$3=1,0,ROUND(E14*Aannames!$B$8,0))</f>
        <v/>
      </c>
      <c r="G13">
        <f>IF(G$3=1,0,ROUND(F14*Aannames!$B$8,0))</f>
        <v/>
      </c>
      <c r="H13">
        <f>IF(H$3=1,0,ROUND(G14*Aannames!$B$8,0))</f>
        <v/>
      </c>
      <c r="I13">
        <f>IF(I$3=1,0,ROUND(H14*Aannames!$B$8,0))</f>
        <v/>
      </c>
      <c r="J13">
        <f>IF(J$3=1,0,ROUND(I14*Aannames!$B$8,0))</f>
        <v/>
      </c>
      <c r="K13">
        <f>IF(K$3=1,0,ROUND(J14*Aannames!$B$8,0))</f>
        <v/>
      </c>
      <c r="L13">
        <f>IF(L$3=1,0,ROUND(K14*Aannames!$B$8,0))</f>
        <v/>
      </c>
      <c r="M13">
        <f>IF(M$3=1,0,ROUND(L14*Aannames!$B$8,0))</f>
        <v/>
      </c>
      <c r="N13">
        <f>IF(N$3=1,0,ROUND(M14*Aannames!$B$8,0))</f>
        <v/>
      </c>
    </row>
    <row r="14">
      <c r="A14" t="inlineStr">
        <is>
          <t>ZZP Pro abonnees (eind)</t>
        </is>
      </c>
      <c r="C14">
        <f>C12-C13</f>
        <v/>
      </c>
      <c r="D14">
        <f>C14+D12-D13</f>
        <v/>
      </c>
      <c r="E14">
        <f>D14+E12-E13</f>
        <v/>
      </c>
      <c r="F14">
        <f>E14+F12-F13</f>
        <v/>
      </c>
      <c r="G14">
        <f>F14+G12-G13</f>
        <v/>
      </c>
      <c r="H14">
        <f>G14+H12-H13</f>
        <v/>
      </c>
      <c r="I14">
        <f>H14+I12-I13</f>
        <v/>
      </c>
      <c r="J14">
        <f>I14+J12-J13</f>
        <v/>
      </c>
      <c r="K14">
        <f>J14+K12-K13</f>
        <v/>
      </c>
      <c r="L14">
        <f>K14+L12-L13</f>
        <v/>
      </c>
      <c r="M14">
        <f>L14+M12-M13</f>
        <v/>
      </c>
      <c r="N14">
        <f>M14+N12-N13</f>
        <v/>
      </c>
    </row>
    <row r="15">
      <c r="A15" t="inlineStr">
        <is>
          <t>MRR opdrachtgevers</t>
        </is>
      </c>
      <c r="C15" s="9">
        <f>C10*Aannames!$B$4*(1-C4)</f>
        <v/>
      </c>
      <c r="D15" s="9">
        <f>D10*Aannames!$B$4*(1-D4)</f>
        <v/>
      </c>
      <c r="E15" s="9">
        <f>E10*Aannames!$B$4*(1-E4)</f>
        <v/>
      </c>
      <c r="F15" s="9">
        <f>F10*Aannames!$B$4*(1-F4)</f>
        <v/>
      </c>
      <c r="G15" s="9">
        <f>G10*Aannames!$B$4*(1-G4)</f>
        <v/>
      </c>
      <c r="H15" s="9">
        <f>H10*Aannames!$B$4*(1-H4)</f>
        <v/>
      </c>
      <c r="I15" s="9">
        <f>I10*Aannames!$B$4*(1-I4)</f>
        <v/>
      </c>
      <c r="J15" s="9">
        <f>J10*Aannames!$B$4*(1-J4)</f>
        <v/>
      </c>
      <c r="K15" s="9">
        <f>K10*Aannames!$B$4*(1-K4)</f>
        <v/>
      </c>
      <c r="L15" s="9">
        <f>L10*Aannames!$B$4*(1-L4)</f>
        <v/>
      </c>
      <c r="M15" s="9">
        <f>M10*Aannames!$B$4*(1-M4)</f>
        <v/>
      </c>
      <c r="N15" s="9">
        <f>N10*Aannames!$B$4*(1-N4)</f>
        <v/>
      </c>
    </row>
    <row r="16">
      <c r="A16" t="inlineStr">
        <is>
          <t>MRR ZZP Pro</t>
        </is>
      </c>
      <c r="C16" s="9">
        <f>C14*Aannames!$B$5*(1-C4)</f>
        <v/>
      </c>
      <c r="D16" s="9">
        <f>D14*Aannames!$B$5*(1-D4)</f>
        <v/>
      </c>
      <c r="E16" s="9">
        <f>E14*Aannames!$B$5*(1-E4)</f>
        <v/>
      </c>
      <c r="F16" s="9">
        <f>F14*Aannames!$B$5*(1-F4)</f>
        <v/>
      </c>
      <c r="G16" s="9">
        <f>G14*Aannames!$B$5*(1-G4)</f>
        <v/>
      </c>
      <c r="H16" s="9">
        <f>H14*Aannames!$B$5*(1-H4)</f>
        <v/>
      </c>
      <c r="I16" s="9">
        <f>I14*Aannames!$B$5*(1-I4)</f>
        <v/>
      </c>
      <c r="J16" s="9">
        <f>J14*Aannames!$B$5*(1-J4)</f>
        <v/>
      </c>
      <c r="K16" s="9">
        <f>K14*Aannames!$B$5*(1-K4)</f>
        <v/>
      </c>
      <c r="L16" s="9">
        <f>L14*Aannames!$B$5*(1-L4)</f>
        <v/>
      </c>
      <c r="M16" s="9">
        <f>M14*Aannames!$B$5*(1-M4)</f>
        <v/>
      </c>
      <c r="N16" s="9">
        <f>N14*Aannames!$B$5*(1-N4)</f>
        <v/>
      </c>
    </row>
    <row r="17">
      <c r="A17" t="inlineStr">
        <is>
          <t>Commissie-inkomsten</t>
        </is>
      </c>
      <c r="C17" s="9">
        <f>IF(C$3&gt;=4,C10*Aannames!$B$11*(1-C4),0)</f>
        <v/>
      </c>
      <c r="D17" s="9">
        <f>IF(D$3&gt;=4,D10*Aannames!$B$11*(1-D4),0)</f>
        <v/>
      </c>
      <c r="E17" s="9">
        <f>IF(E$3&gt;=4,E10*Aannames!$B$11*(1-E4),0)</f>
        <v/>
      </c>
      <c r="F17" s="9">
        <f>IF(F$3&gt;=4,F10*Aannames!$B$11*(1-F4),0)</f>
        <v/>
      </c>
      <c r="G17" s="9">
        <f>IF(G$3&gt;=4,G10*Aannames!$B$11*(1-G4),0)</f>
        <v/>
      </c>
      <c r="H17" s="9">
        <f>IF(H$3&gt;=4,H10*Aannames!$B$11*(1-H4),0)</f>
        <v/>
      </c>
      <c r="I17" s="9">
        <f>IF(I$3&gt;=4,I10*Aannames!$B$11*(1-I4),0)</f>
        <v/>
      </c>
      <c r="J17" s="9">
        <f>IF(J$3&gt;=4,J10*Aannames!$B$11*(1-J4),0)</f>
        <v/>
      </c>
      <c r="K17" s="9">
        <f>IF(K$3&gt;=4,K10*Aannames!$B$11*(1-K4),0)</f>
        <v/>
      </c>
      <c r="L17" s="9">
        <f>IF(L$3&gt;=4,L10*Aannames!$B$11*(1-L4),0)</f>
        <v/>
      </c>
      <c r="M17" s="9">
        <f>IF(M$3&gt;=4,M10*Aannames!$B$11*(1-M4),0)</f>
        <v/>
      </c>
      <c r="N17" s="9">
        <f>IF(N$3&gt;=4,N10*Aannames!$B$11*(1-N4),0)</f>
        <v/>
      </c>
    </row>
    <row r="18">
      <c r="A18" s="7" t="inlineStr">
        <is>
          <t>Totale omzet</t>
        </is>
      </c>
      <c r="C18" s="9">
        <f>C15+C16+C17</f>
        <v/>
      </c>
      <c r="D18" s="9">
        <f>D15+D16+D17</f>
        <v/>
      </c>
      <c r="E18" s="9">
        <f>E15+E16+E17</f>
        <v/>
      </c>
      <c r="F18" s="9">
        <f>F15+F16+F17</f>
        <v/>
      </c>
      <c r="G18" s="9">
        <f>G15+G16+G17</f>
        <v/>
      </c>
      <c r="H18" s="9">
        <f>H15+H16+H17</f>
        <v/>
      </c>
      <c r="I18" s="9">
        <f>I15+I16+I17</f>
        <v/>
      </c>
      <c r="J18" s="9">
        <f>J15+J16+J17</f>
        <v/>
      </c>
      <c r="K18" s="9">
        <f>K15+K16+K17</f>
        <v/>
      </c>
      <c r="L18" s="9">
        <f>L15+L16+L17</f>
        <v/>
      </c>
      <c r="M18" s="9">
        <f>M15+M16+M17</f>
        <v/>
      </c>
      <c r="N18" s="9">
        <f>N15+N16+N17</f>
        <v/>
      </c>
    </row>
    <row r="19">
      <c r="A19" t="inlineStr">
        <is>
          <t>Kosten personeel</t>
        </is>
      </c>
      <c r="C19" s="9">
        <f>Aannames!$B$12+IF(C$3&gt;=7,Aannames!$B$13,0)</f>
        <v/>
      </c>
      <c r="D19" s="9">
        <f>Aannames!$B$12+IF(D$3&gt;=7,Aannames!$B$13,0)</f>
        <v/>
      </c>
      <c r="E19" s="9">
        <f>Aannames!$B$12+IF(E$3&gt;=7,Aannames!$B$13,0)</f>
        <v/>
      </c>
      <c r="F19" s="9">
        <f>Aannames!$B$12+IF(F$3&gt;=7,Aannames!$B$13,0)</f>
        <v/>
      </c>
      <c r="G19" s="9">
        <f>Aannames!$B$12+IF(G$3&gt;=7,Aannames!$B$13,0)</f>
        <v/>
      </c>
      <c r="H19" s="9">
        <f>Aannames!$B$12+IF(H$3&gt;=7,Aannames!$B$13,0)</f>
        <v/>
      </c>
      <c r="I19" s="9">
        <f>Aannames!$B$12+IF(I$3&gt;=7,Aannames!$B$13,0)</f>
        <v/>
      </c>
      <c r="J19" s="9">
        <f>Aannames!$B$12+IF(J$3&gt;=7,Aannames!$B$13,0)</f>
        <v/>
      </c>
      <c r="K19" s="9">
        <f>Aannames!$B$12+IF(K$3&gt;=7,Aannames!$B$13,0)</f>
        <v/>
      </c>
      <c r="L19" s="9">
        <f>Aannames!$B$12+IF(L$3&gt;=7,Aannames!$B$13,0)</f>
        <v/>
      </c>
      <c r="M19" s="9">
        <f>Aannames!$B$12+IF(M$3&gt;=7,Aannames!$B$13,0)</f>
        <v/>
      </c>
      <c r="N19" s="9">
        <f>Aannames!$B$12+IF(N$3&gt;=7,Aannames!$B$13,0)</f>
        <v/>
      </c>
    </row>
    <row r="20">
      <c r="A20" t="inlineStr">
        <is>
          <t>Kosten marketing</t>
        </is>
      </c>
      <c r="C20" s="9">
        <f>C5</f>
        <v/>
      </c>
      <c r="D20" s="9">
        <f>D5</f>
        <v/>
      </c>
      <c r="E20" s="9">
        <f>E5</f>
        <v/>
      </c>
      <c r="F20" s="9">
        <f>F5</f>
        <v/>
      </c>
      <c r="G20" s="9">
        <f>G5</f>
        <v/>
      </c>
      <c r="H20" s="9">
        <f>H5</f>
        <v/>
      </c>
      <c r="I20" s="9">
        <f>I5</f>
        <v/>
      </c>
      <c r="J20" s="9">
        <f>J5</f>
        <v/>
      </c>
      <c r="K20" s="9">
        <f>K5</f>
        <v/>
      </c>
      <c r="L20" s="9">
        <f>L5</f>
        <v/>
      </c>
      <c r="M20" s="9">
        <f>M5</f>
        <v/>
      </c>
      <c r="N20" s="9">
        <f>N5</f>
        <v/>
      </c>
    </row>
    <row r="21">
      <c r="A21" t="inlineStr">
        <is>
          <t>Kosten techniek</t>
        </is>
      </c>
      <c r="C21" s="9">
        <f>Aannames!$B$14+C10*Aannames!$B$15</f>
        <v/>
      </c>
      <c r="D21" s="9">
        <f>Aannames!$B$14+D10*Aannames!$B$15</f>
        <v/>
      </c>
      <c r="E21" s="9">
        <f>Aannames!$B$14+E10*Aannames!$B$15</f>
        <v/>
      </c>
      <c r="F21" s="9">
        <f>Aannames!$B$14+F10*Aannames!$B$15</f>
        <v/>
      </c>
      <c r="G21" s="9">
        <f>Aannames!$B$14+G10*Aannames!$B$15</f>
        <v/>
      </c>
      <c r="H21" s="9">
        <f>Aannames!$B$14+H10*Aannames!$B$15</f>
        <v/>
      </c>
      <c r="I21" s="9">
        <f>Aannames!$B$14+I10*Aannames!$B$15</f>
        <v/>
      </c>
      <c r="J21" s="9">
        <f>Aannames!$B$14+J10*Aannames!$B$15</f>
        <v/>
      </c>
      <c r="K21" s="9">
        <f>Aannames!$B$14+K10*Aannames!$B$15</f>
        <v/>
      </c>
      <c r="L21" s="9">
        <f>Aannames!$B$14+L10*Aannames!$B$15</f>
        <v/>
      </c>
      <c r="M21" s="9">
        <f>Aannames!$B$14+M10*Aannames!$B$15</f>
        <v/>
      </c>
      <c r="N21" s="9">
        <f>Aannames!$B$14+N10*Aannames!$B$15</f>
        <v/>
      </c>
    </row>
    <row r="22">
      <c r="A22" t="inlineStr">
        <is>
          <t>Overige kosten</t>
        </is>
      </c>
      <c r="C22" s="9">
        <f>Aannames!$B$16+IF(C$3=2,Aannames!$B$17,0)</f>
        <v/>
      </c>
      <c r="D22" s="9">
        <f>Aannames!$B$16+IF(D$3=2,Aannames!$B$17,0)</f>
        <v/>
      </c>
      <c r="E22" s="9">
        <f>Aannames!$B$16+IF(E$3=2,Aannames!$B$17,0)</f>
        <v/>
      </c>
      <c r="F22" s="9">
        <f>Aannames!$B$16+IF(F$3=2,Aannames!$B$17,0)</f>
        <v/>
      </c>
      <c r="G22" s="9">
        <f>Aannames!$B$16+IF(G$3=2,Aannames!$B$17,0)</f>
        <v/>
      </c>
      <c r="H22" s="9">
        <f>Aannames!$B$16+IF(H$3=2,Aannames!$B$17,0)</f>
        <v/>
      </c>
      <c r="I22" s="9">
        <f>Aannames!$B$16+IF(I$3=2,Aannames!$B$17,0)</f>
        <v/>
      </c>
      <c r="J22" s="9">
        <f>Aannames!$B$16+IF(J$3=2,Aannames!$B$17,0)</f>
        <v/>
      </c>
      <c r="K22" s="9">
        <f>Aannames!$B$16+IF(K$3=2,Aannames!$B$17,0)</f>
        <v/>
      </c>
      <c r="L22" s="9">
        <f>Aannames!$B$16+IF(L$3=2,Aannames!$B$17,0)</f>
        <v/>
      </c>
      <c r="M22" s="9">
        <f>Aannames!$B$16+IF(M$3=2,Aannames!$B$17,0)</f>
        <v/>
      </c>
      <c r="N22" s="9">
        <f>Aannames!$B$16+IF(N$3=2,Aannames!$B$17,0)</f>
        <v/>
      </c>
    </row>
    <row r="23">
      <c r="A23" s="7" t="inlineStr">
        <is>
          <t>Totale kosten</t>
        </is>
      </c>
      <c r="C23" s="9">
        <f>C19+C20+C21+C22</f>
        <v/>
      </c>
      <c r="D23" s="9">
        <f>D19+D20+D21+D22</f>
        <v/>
      </c>
      <c r="E23" s="9">
        <f>E19+E20+E21+E22</f>
        <v/>
      </c>
      <c r="F23" s="9">
        <f>F19+F20+F21+F22</f>
        <v/>
      </c>
      <c r="G23" s="9">
        <f>G19+G20+G21+G22</f>
        <v/>
      </c>
      <c r="H23" s="9">
        <f>H19+H20+H21+H22</f>
        <v/>
      </c>
      <c r="I23" s="9">
        <f>I19+I20+I21+I22</f>
        <v/>
      </c>
      <c r="J23" s="9">
        <f>J19+J20+J21+J22</f>
        <v/>
      </c>
      <c r="K23" s="9">
        <f>K19+K20+K21+K22</f>
        <v/>
      </c>
      <c r="L23" s="9">
        <f>L19+L20+L21+L22</f>
        <v/>
      </c>
      <c r="M23" s="9">
        <f>M19+M20+M21+M22</f>
        <v/>
      </c>
      <c r="N23" s="9">
        <f>N19+N20+N21+N22</f>
        <v/>
      </c>
    </row>
    <row r="24">
      <c r="A24" s="7" t="inlineStr">
        <is>
          <t>Maandresultaat</t>
        </is>
      </c>
      <c r="C24" s="10">
        <f>C18-C23</f>
        <v/>
      </c>
      <c r="D24" s="10">
        <f>D18-D23</f>
        <v/>
      </c>
      <c r="E24" s="10">
        <f>E18-E23</f>
        <v/>
      </c>
      <c r="F24" s="10">
        <f>F18-F23</f>
        <v/>
      </c>
      <c r="G24" s="10">
        <f>G18-G23</f>
        <v/>
      </c>
      <c r="H24" s="10">
        <f>H18-H23</f>
        <v/>
      </c>
      <c r="I24" s="10">
        <f>I18-I23</f>
        <v/>
      </c>
      <c r="J24" s="10">
        <f>J18-J23</f>
        <v/>
      </c>
      <c r="K24" s="10">
        <f>K18-K23</f>
        <v/>
      </c>
      <c r="L24" s="10">
        <f>L18-L23</f>
        <v/>
      </c>
      <c r="M24" s="10">
        <f>M18-M23</f>
        <v/>
      </c>
      <c r="N24" s="10">
        <f>N18-N23</f>
        <v/>
      </c>
    </row>
    <row r="25">
      <c r="A25" s="7" t="inlineStr">
        <is>
          <t>Kaspositie (eind)</t>
        </is>
      </c>
      <c r="C25" s="10">
        <f>Aannames!$B$3+C24</f>
        <v/>
      </c>
      <c r="D25" s="10">
        <f>C25+D24</f>
        <v/>
      </c>
      <c r="E25" s="10">
        <f>D25+E24</f>
        <v/>
      </c>
      <c r="F25" s="10">
        <f>E25+F24</f>
        <v/>
      </c>
      <c r="G25" s="10">
        <f>F25+G24</f>
        <v/>
      </c>
      <c r="H25" s="10">
        <f>G25+H24</f>
        <v/>
      </c>
      <c r="I25" s="10">
        <f>H25+I24</f>
        <v/>
      </c>
      <c r="J25" s="10">
        <f>I25+J24</f>
        <v/>
      </c>
      <c r="K25" s="10">
        <f>J25+K24</f>
        <v/>
      </c>
      <c r="L25" s="10">
        <f>K25+L24</f>
        <v/>
      </c>
      <c r="M25" s="10">
        <f>L25+M24</f>
        <v/>
      </c>
      <c r="N25" s="10">
        <f>M25+N24</f>
        <v/>
      </c>
    </row>
    <row r="26">
      <c r="A26" t="inlineStr">
        <is>
          <t>Kas zonder startkapitaal</t>
        </is>
      </c>
      <c r="C26" s="10">
        <f>C24</f>
        <v/>
      </c>
      <c r="D26" s="10">
        <f>C26+D24</f>
        <v/>
      </c>
      <c r="E26" s="10">
        <f>D26+E24</f>
        <v/>
      </c>
      <c r="F26" s="10">
        <f>E26+F24</f>
        <v/>
      </c>
      <c r="G26" s="10">
        <f>F26+G24</f>
        <v/>
      </c>
      <c r="H26" s="10">
        <f>G26+H24</f>
        <v/>
      </c>
      <c r="I26" s="10">
        <f>H26+I24</f>
        <v/>
      </c>
      <c r="J26" s="10">
        <f>I26+J24</f>
        <v/>
      </c>
      <c r="K26" s="10">
        <f>J26+K24</f>
        <v/>
      </c>
      <c r="L26" s="10">
        <f>K26+L24</f>
        <v/>
      </c>
      <c r="M26" s="10">
        <f>L26+M24</f>
        <v/>
      </c>
      <c r="N26" s="10">
        <f>M26+N24</f>
        <v/>
      </c>
    </row>
    <row r="27">
      <c r="A27" t="inlineStr">
        <is>
          <t>Runway-indicatie (mnd)</t>
        </is>
      </c>
      <c r="C27">
        <f>IF(C24&gt;=0,"break-even",ROUND(C25/-C24,1))</f>
        <v/>
      </c>
      <c r="D27">
        <f>IF(D24&gt;=0,"break-even",ROUND(D25/-D24,1))</f>
        <v/>
      </c>
      <c r="E27">
        <f>IF(E24&gt;=0,"break-even",ROUND(E25/-E24,1))</f>
        <v/>
      </c>
      <c r="F27">
        <f>IF(F24&gt;=0,"break-even",ROUND(F25/-F24,1))</f>
        <v/>
      </c>
      <c r="G27">
        <f>IF(G24&gt;=0,"break-even",ROUND(G25/-G24,1))</f>
        <v/>
      </c>
      <c r="H27">
        <f>IF(H24&gt;=0,"break-even",ROUND(H25/-H24,1))</f>
        <v/>
      </c>
      <c r="I27">
        <f>IF(I24&gt;=0,"break-even",ROUND(I25/-I24,1))</f>
        <v/>
      </c>
      <c r="J27">
        <f>IF(J24&gt;=0,"break-even",ROUND(J25/-J24,1))</f>
        <v/>
      </c>
      <c r="K27">
        <f>IF(K24&gt;=0,"break-even",ROUND(K25/-K24,1))</f>
        <v/>
      </c>
      <c r="L27">
        <f>IF(L24&gt;=0,"break-even",ROUND(L25/-L24,1))</f>
        <v/>
      </c>
      <c r="M27">
        <f>IF(M24&gt;=0,"break-even",ROUND(M25/-M24,1))</f>
        <v/>
      </c>
      <c r="N27">
        <f>IF(N24&gt;=0,"break-even",ROUND(N25/-N24,1))</f>
        <v/>
      </c>
    </row>
    <row r="28">
      <c r="A28" t="inlineStr">
        <is>
          <t>CAC gerealiseerd (marketing)</t>
        </is>
      </c>
      <c r="C28" s="9">
        <f>IFERROR(ROUND(C5/(C7+C8),0),0)</f>
        <v/>
      </c>
      <c r="D28" s="9">
        <f>IFERROR(ROUND(D5/(D7+D8),0),0)</f>
        <v/>
      </c>
      <c r="E28" s="9">
        <f>IFERROR(ROUND(E5/(E7+E8),0),0)</f>
        <v/>
      </c>
      <c r="F28" s="9">
        <f>IFERROR(ROUND(F5/(F7+F8),0),0)</f>
        <v/>
      </c>
      <c r="G28" s="9">
        <f>IFERROR(ROUND(G5/(G7+G8),0),0)</f>
        <v/>
      </c>
      <c r="H28" s="9">
        <f>IFERROR(ROUND(H5/(H7+H8),0),0)</f>
        <v/>
      </c>
      <c r="I28" s="9">
        <f>IFERROR(ROUND(I5/(I7+I8),0),0)</f>
        <v/>
      </c>
      <c r="J28" s="9">
        <f>IFERROR(ROUND(J5/(J7+J8),0),0)</f>
        <v/>
      </c>
      <c r="K28" s="9">
        <f>IFERROR(ROUND(K5/(K7+K8),0),0)</f>
        <v/>
      </c>
      <c r="L28" s="9">
        <f>IFERROR(ROUND(L5/(L7+L8),0),0)</f>
        <v/>
      </c>
      <c r="M28" s="9">
        <f>IFERROR(ROUND(M5/(M7+M8),0),0)</f>
        <v/>
      </c>
      <c r="N28" s="9">
        <f>IFERROR(ROUND(N5/(N7+N8),0),0)</f>
        <v/>
      </c>
    </row>
    <row r="29">
      <c r="A29" t="inlineStr">
        <is>
          <t>LTV opdrachtgever</t>
        </is>
      </c>
      <c r="C29" s="9">
        <f>ROUND(Aannames!$B$4*(1/Aannames!$B$7)*Aannames!$B$21,0)</f>
        <v/>
      </c>
      <c r="D29" s="9">
        <f>ROUND(Aannames!$B$4*(1/Aannames!$B$7)*Aannames!$B$21,0)</f>
        <v/>
      </c>
      <c r="E29" s="9">
        <f>ROUND(Aannames!$B$4*(1/Aannames!$B$7)*Aannames!$B$21,0)</f>
        <v/>
      </c>
      <c r="F29" s="9">
        <f>ROUND(Aannames!$B$4*(1/Aannames!$B$7)*Aannames!$B$21,0)</f>
        <v/>
      </c>
      <c r="G29" s="9">
        <f>ROUND(Aannames!$B$4*(1/Aannames!$B$7)*Aannames!$B$21,0)</f>
        <v/>
      </c>
      <c r="H29" s="9">
        <f>ROUND(Aannames!$B$4*(1/Aannames!$B$7)*Aannames!$B$21,0)</f>
        <v/>
      </c>
      <c r="I29" s="9">
        <f>ROUND(Aannames!$B$4*(1/Aannames!$B$7)*Aannames!$B$21,0)</f>
        <v/>
      </c>
      <c r="J29" s="9">
        <f>ROUND(Aannames!$B$4*(1/Aannames!$B$7)*Aannames!$B$21,0)</f>
        <v/>
      </c>
      <c r="K29" s="9">
        <f>ROUND(Aannames!$B$4*(1/Aannames!$B$7)*Aannames!$B$21,0)</f>
        <v/>
      </c>
      <c r="L29" s="9">
        <f>ROUND(Aannames!$B$4*(1/Aannames!$B$7)*Aannames!$B$21,0)</f>
        <v/>
      </c>
      <c r="M29" s="9">
        <f>ROUND(Aannames!$B$4*(1/Aannames!$B$7)*Aannames!$B$21,0)</f>
        <v/>
      </c>
      <c r="N29" s="9">
        <f>ROUND(Aannames!$B$4*(1/Aannames!$B$7)*Aannames!$B$21,0)</f>
        <v/>
      </c>
    </row>
    <row r="30">
      <c r="A30" t="inlineStr">
        <is>
          <t>LTV / CAC</t>
        </is>
      </c>
      <c r="C30" s="11">
        <f>IFERROR(ROUND(C29/C28,1),0)</f>
        <v/>
      </c>
      <c r="D30" s="11">
        <f>IFERROR(ROUND(D29/D28,1),0)</f>
        <v/>
      </c>
      <c r="E30" s="11">
        <f>IFERROR(ROUND(E29/E28,1),0)</f>
        <v/>
      </c>
      <c r="F30" s="11">
        <f>IFERROR(ROUND(F29/F28,1),0)</f>
        <v/>
      </c>
      <c r="G30" s="11">
        <f>IFERROR(ROUND(G29/G28,1),0)</f>
        <v/>
      </c>
      <c r="H30" s="11">
        <f>IFERROR(ROUND(H29/H28,1),0)</f>
        <v/>
      </c>
      <c r="I30" s="11">
        <f>IFERROR(ROUND(I29/I28,1),0)</f>
        <v/>
      </c>
      <c r="J30" s="11">
        <f>IFERROR(ROUND(J29/J28,1),0)</f>
        <v/>
      </c>
      <c r="K30" s="11">
        <f>IFERROR(ROUND(K29/K28,1),0)</f>
        <v/>
      </c>
      <c r="L30" s="11">
        <f>IFERROR(ROUND(L29/L28,1),0)</f>
        <v/>
      </c>
      <c r="M30" s="11">
        <f>IFERROR(ROUND(M29/M28,1),0)</f>
        <v/>
      </c>
      <c r="N30" s="11">
        <f>IFERROR(ROUND(N29/N28,1),0)</f>
        <v/>
      </c>
    </row>
    <row r="31">
      <c r="A31" t="inlineStr">
        <is>
          <t>Positief resultaat? (1/0)</t>
        </is>
      </c>
      <c r="C31">
        <f>IF(C24&gt;=0,1,0)</f>
        <v/>
      </c>
      <c r="D31">
        <f>IF(D24&gt;=0,1,0)</f>
        <v/>
      </c>
      <c r="E31">
        <f>IF(E24&gt;=0,1,0)</f>
        <v/>
      </c>
      <c r="F31">
        <f>IF(F24&gt;=0,1,0)</f>
        <v/>
      </c>
      <c r="G31">
        <f>IF(G24&gt;=0,1,0)</f>
        <v/>
      </c>
      <c r="H31">
        <f>IF(H24&gt;=0,1,0)</f>
        <v/>
      </c>
      <c r="I31">
        <f>IF(I24&gt;=0,1,0)</f>
        <v/>
      </c>
      <c r="J31">
        <f>IF(J24&gt;=0,1,0)</f>
        <v/>
      </c>
      <c r="K31">
        <f>IF(K24&gt;=0,1,0)</f>
        <v/>
      </c>
      <c r="L31">
        <f>IF(L24&gt;=0,1,0)</f>
        <v/>
      </c>
      <c r="M31">
        <f>IF(M24&gt;=0,1,0)</f>
        <v/>
      </c>
      <c r="N31">
        <f>IF(N24&gt;=0,1,0)</f>
        <v/>
      </c>
    </row>
    <row r="33">
      <c r="A33" s="7" t="inlineStr">
        <is>
          <t>Samenvatting</t>
        </is>
      </c>
    </row>
    <row r="34">
      <c r="A34" t="inlineStr">
        <is>
          <t>Omzet na 12 maanden</t>
        </is>
      </c>
      <c r="B34" s="9">
        <f>N18</f>
        <v/>
      </c>
    </row>
    <row r="35">
      <c r="A35" t="inlineStr">
        <is>
          <t>Eerste maand met positief resultaat</t>
        </is>
      </c>
      <c r="B35">
        <f>IFERROR(MATCH(1,C31:N31,0),"geen binnen 12 mnd")</f>
        <v/>
      </c>
    </row>
    <row r="36">
      <c r="A36" t="inlineStr">
        <is>
          <t>Kaspositie eind maand 12</t>
        </is>
      </c>
      <c r="B36" s="10">
        <f>N25</f>
        <v/>
      </c>
    </row>
    <row r="37">
      <c r="A37" t="inlineStr">
        <is>
          <t>Dieptepunt kas (zonder startkapitaal)</t>
        </is>
      </c>
      <c r="B37" s="10">
        <f>MIN(C26:N26)</f>
        <v/>
      </c>
    </row>
    <row r="38">
      <c r="A38" t="inlineStr">
        <is>
          <t>Minimaal startkapitaal nodig (base)</t>
        </is>
      </c>
      <c r="B38" s="9">
        <f>MAX(0,-MIN(C26:N26))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Scenario's — zelfde logica, andere aannames</t>
        </is>
      </c>
    </row>
    <row r="2">
      <c r="A2" s="2" t="inlineStr">
        <is>
          <t>Parameter</t>
        </is>
      </c>
      <c r="B2" s="2" t="inlineStr">
        <is>
          <t>Pessimistisch</t>
        </is>
      </c>
      <c r="C2" s="2" t="inlineStr">
        <is>
          <t>Base</t>
        </is>
      </c>
      <c r="D2" s="2" t="inlineStr">
        <is>
          <t>Optimistisch</t>
        </is>
      </c>
    </row>
    <row r="3">
      <c r="A3" t="inlineStr">
        <is>
          <t>Maandelijkse churn opdrachtgevers</t>
        </is>
      </c>
      <c r="B3" s="4" t="n">
        <v>0.06</v>
      </c>
      <c r="C3" s="4" t="n">
        <v>0.03</v>
      </c>
      <c r="D3" s="4" t="n">
        <v>0.02</v>
      </c>
    </row>
    <row r="4">
      <c r="A4" t="inlineStr">
        <is>
          <t>CAC per opdrachtgever</t>
        </is>
      </c>
      <c r="B4" s="3" t="n">
        <v>1000</v>
      </c>
      <c r="C4" s="3" t="n">
        <v>600</v>
      </c>
      <c r="D4" s="3" t="n">
        <v>450</v>
      </c>
    </row>
    <row r="5">
      <c r="A5" t="inlineStr">
        <is>
          <t>Gemiddelde abonnementsprijs opdrachtgever</t>
        </is>
      </c>
      <c r="B5" s="3" t="n">
        <v>190</v>
      </c>
      <c r="C5" s="3" t="n">
        <v>230</v>
      </c>
      <c r="D5" s="3" t="n">
        <v>260</v>
      </c>
    </row>
    <row r="8">
      <c r="A8" s="2" t="inlineStr">
        <is>
          <t>Scenario: Pessimistisch</t>
        </is>
      </c>
    </row>
    <row r="9">
      <c r="A9" t="inlineStr">
        <is>
          <t>Actieve opdrachtgevers</t>
        </is>
      </c>
      <c r="C9">
        <f>ROUND(Model!C$5/$B$4*IF(Model!C$3&lt;=Aannames!$B$22,Aannames!$B$23,1),0)+Model!C$8</f>
        <v/>
      </c>
      <c r="D9">
        <f>C9+ROUND(Model!D$5/$B$4*IF(Model!D$3&lt;=Aannames!$B$22,Aannames!$B$23,1),0)+Model!D$8-ROUND(C9*$B$3,0)</f>
        <v/>
      </c>
      <c r="E9">
        <f>D9+ROUND(Model!E$5/$B$4*IF(Model!E$3&lt;=Aannames!$B$22,Aannames!$B$23,1),0)+Model!E$8-ROUND(D9*$B$3,0)</f>
        <v/>
      </c>
      <c r="F9">
        <f>E9+ROUND(Model!F$5/$B$4*IF(Model!F$3&lt;=Aannames!$B$22,Aannames!$B$23,1),0)+Model!F$8-ROUND(E9*$B$3,0)</f>
        <v/>
      </c>
      <c r="G9">
        <f>F9+ROUND(Model!G$5/$B$4*IF(Model!G$3&lt;=Aannames!$B$22,Aannames!$B$23,1),0)+Model!G$8-ROUND(F9*$B$3,0)</f>
        <v/>
      </c>
      <c r="H9">
        <f>G9+ROUND(Model!H$5/$B$4*IF(Model!H$3&lt;=Aannames!$B$22,Aannames!$B$23,1),0)+Model!H$8-ROUND(G9*$B$3,0)</f>
        <v/>
      </c>
      <c r="I9">
        <f>H9+ROUND(Model!I$5/$B$4*IF(Model!I$3&lt;=Aannames!$B$22,Aannames!$B$23,1),0)+Model!I$8-ROUND(H9*$B$3,0)</f>
        <v/>
      </c>
      <c r="J9">
        <f>I9+ROUND(Model!J$5/$B$4*IF(Model!J$3&lt;=Aannames!$B$22,Aannames!$B$23,1),0)+Model!J$8-ROUND(I9*$B$3,0)</f>
        <v/>
      </c>
      <c r="K9">
        <f>J9+ROUND(Model!K$5/$B$4*IF(Model!K$3&lt;=Aannames!$B$22,Aannames!$B$23,1),0)+Model!K$8-ROUND(J9*$B$3,0)</f>
        <v/>
      </c>
      <c r="L9">
        <f>K9+ROUND(Model!L$5/$B$4*IF(Model!L$3&lt;=Aannames!$B$22,Aannames!$B$23,1),0)+Model!L$8-ROUND(K9*$B$3,0)</f>
        <v/>
      </c>
      <c r="M9">
        <f>L9+ROUND(Model!M$5/$B$4*IF(Model!M$3&lt;=Aannames!$B$22,Aannames!$B$23,1),0)+Model!M$8-ROUND(L9*$B$3,0)</f>
        <v/>
      </c>
      <c r="N9">
        <f>M9+ROUND(Model!N$5/$B$4*IF(Model!N$3&lt;=Aannames!$B$22,Aannames!$B$23,1),0)+Model!N$8-ROUND(M9*$B$3,0)</f>
        <v/>
      </c>
    </row>
    <row r="10">
      <c r="A10" t="inlineStr">
        <is>
          <t>Totale omzet</t>
        </is>
      </c>
      <c r="C10" s="9">
        <f>(C9*$B$5+IF(Model!C$3&gt;=4,C9*Aannames!$B$11,0))*(1-Model!C$4)+Model!C$16</f>
        <v/>
      </c>
      <c r="D10" s="9">
        <f>(D9*$B$5+IF(Model!D$3&gt;=4,D9*Aannames!$B$11,0))*(1-Model!D$4)+Model!D$16</f>
        <v/>
      </c>
      <c r="E10" s="9">
        <f>(E9*$B$5+IF(Model!E$3&gt;=4,E9*Aannames!$B$11,0))*(1-Model!E$4)+Model!E$16</f>
        <v/>
      </c>
      <c r="F10" s="9">
        <f>(F9*$B$5+IF(Model!F$3&gt;=4,F9*Aannames!$B$11,0))*(1-Model!F$4)+Model!F$16</f>
        <v/>
      </c>
      <c r="G10" s="9">
        <f>(G9*$B$5+IF(Model!G$3&gt;=4,G9*Aannames!$B$11,0))*(1-Model!G$4)+Model!G$16</f>
        <v/>
      </c>
      <c r="H10" s="9">
        <f>(H9*$B$5+IF(Model!H$3&gt;=4,H9*Aannames!$B$11,0))*(1-Model!H$4)+Model!H$16</f>
        <v/>
      </c>
      <c r="I10" s="9">
        <f>(I9*$B$5+IF(Model!I$3&gt;=4,I9*Aannames!$B$11,0))*(1-Model!I$4)+Model!I$16</f>
        <v/>
      </c>
      <c r="J10" s="9">
        <f>(J9*$B$5+IF(Model!J$3&gt;=4,J9*Aannames!$B$11,0))*(1-Model!J$4)+Model!J$16</f>
        <v/>
      </c>
      <c r="K10" s="9">
        <f>(K9*$B$5+IF(Model!K$3&gt;=4,K9*Aannames!$B$11,0))*(1-Model!K$4)+Model!K$16</f>
        <v/>
      </c>
      <c r="L10" s="9">
        <f>(L9*$B$5+IF(Model!L$3&gt;=4,L9*Aannames!$B$11,0))*(1-Model!L$4)+Model!L$16</f>
        <v/>
      </c>
      <c r="M10" s="9">
        <f>(M9*$B$5+IF(Model!M$3&gt;=4,M9*Aannames!$B$11,0))*(1-Model!M$4)+Model!M$16</f>
        <v/>
      </c>
      <c r="N10" s="9">
        <f>(N9*$B$5+IF(Model!N$3&gt;=4,N9*Aannames!$B$11,0))*(1-Model!N$4)+Model!N$16</f>
        <v/>
      </c>
    </row>
    <row r="11">
      <c r="A11" t="inlineStr">
        <is>
          <t>Totale kosten</t>
        </is>
      </c>
      <c r="C11" s="9">
        <f>Model!C$23-Model!C$21+Aannames!$B$14+C9*Aannames!$B$15</f>
        <v/>
      </c>
      <c r="D11" s="9">
        <f>Model!D$23-Model!D$21+Aannames!$B$14+D9*Aannames!$B$15</f>
        <v/>
      </c>
      <c r="E11" s="9">
        <f>Model!E$23-Model!E$21+Aannames!$B$14+E9*Aannames!$B$15</f>
        <v/>
      </c>
      <c r="F11" s="9">
        <f>Model!F$23-Model!F$21+Aannames!$B$14+F9*Aannames!$B$15</f>
        <v/>
      </c>
      <c r="G11" s="9">
        <f>Model!G$23-Model!G$21+Aannames!$B$14+G9*Aannames!$B$15</f>
        <v/>
      </c>
      <c r="H11" s="9">
        <f>Model!H$23-Model!H$21+Aannames!$B$14+H9*Aannames!$B$15</f>
        <v/>
      </c>
      <c r="I11" s="9">
        <f>Model!I$23-Model!I$21+Aannames!$B$14+I9*Aannames!$B$15</f>
        <v/>
      </c>
      <c r="J11" s="9">
        <f>Model!J$23-Model!J$21+Aannames!$B$14+J9*Aannames!$B$15</f>
        <v/>
      </c>
      <c r="K11" s="9">
        <f>Model!K$23-Model!K$21+Aannames!$B$14+K9*Aannames!$B$15</f>
        <v/>
      </c>
      <c r="L11" s="9">
        <f>Model!L$23-Model!L$21+Aannames!$B$14+L9*Aannames!$B$15</f>
        <v/>
      </c>
      <c r="M11" s="9">
        <f>Model!M$23-Model!M$21+Aannames!$B$14+M9*Aannames!$B$15</f>
        <v/>
      </c>
      <c r="N11" s="9">
        <f>Model!N$23-Model!N$21+Aannames!$B$14+N9*Aannames!$B$15</f>
        <v/>
      </c>
    </row>
    <row r="12">
      <c r="A12" t="inlineStr">
        <is>
          <t>Maandresultaat</t>
        </is>
      </c>
      <c r="C12" s="10">
        <f>C10-C11</f>
        <v/>
      </c>
      <c r="D12" s="10">
        <f>D10-D11</f>
        <v/>
      </c>
      <c r="E12" s="10">
        <f>E10-E11</f>
        <v/>
      </c>
      <c r="F12" s="10">
        <f>F10-F11</f>
        <v/>
      </c>
      <c r="G12" s="10">
        <f>G10-G11</f>
        <v/>
      </c>
      <c r="H12" s="10">
        <f>H10-H11</f>
        <v/>
      </c>
      <c r="I12" s="10">
        <f>I10-I11</f>
        <v/>
      </c>
      <c r="J12" s="10">
        <f>J10-J11</f>
        <v/>
      </c>
      <c r="K12" s="10">
        <f>K10-K11</f>
        <v/>
      </c>
      <c r="L12" s="10">
        <f>L10-L11</f>
        <v/>
      </c>
      <c r="M12" s="10">
        <f>M10-M11</f>
        <v/>
      </c>
      <c r="N12" s="10">
        <f>N10-N11</f>
        <v/>
      </c>
    </row>
    <row r="13">
      <c r="A13" t="inlineStr">
        <is>
          <t>Kas zonder startkapitaal</t>
        </is>
      </c>
      <c r="C13" s="10">
        <f>C12</f>
        <v/>
      </c>
      <c r="D13" s="10">
        <f>C13+D12</f>
        <v/>
      </c>
      <c r="E13" s="10">
        <f>D13+E12</f>
        <v/>
      </c>
      <c r="F13" s="10">
        <f>E13+F12</f>
        <v/>
      </c>
      <c r="G13" s="10">
        <f>F13+G12</f>
        <v/>
      </c>
      <c r="H13" s="10">
        <f>G13+H12</f>
        <v/>
      </c>
      <c r="I13" s="10">
        <f>H13+I12</f>
        <v/>
      </c>
      <c r="J13" s="10">
        <f>I13+J12</f>
        <v/>
      </c>
      <c r="K13" s="10">
        <f>J13+K12</f>
        <v/>
      </c>
      <c r="L13" s="10">
        <f>K13+L12</f>
        <v/>
      </c>
      <c r="M13" s="10">
        <f>L13+M12</f>
        <v/>
      </c>
      <c r="N13" s="10">
        <f>M13+N12</f>
        <v/>
      </c>
    </row>
    <row r="14">
      <c r="A14" t="inlineStr">
        <is>
          <t>Positief? (1/0)</t>
        </is>
      </c>
      <c r="C14">
        <f>IF(C12&gt;=0,1,0)</f>
        <v/>
      </c>
      <c r="D14">
        <f>IF(D12&gt;=0,1,0)</f>
        <v/>
      </c>
      <c r="E14">
        <f>IF(E12&gt;=0,1,0)</f>
        <v/>
      </c>
      <c r="F14">
        <f>IF(F12&gt;=0,1,0)</f>
        <v/>
      </c>
      <c r="G14">
        <f>IF(G12&gt;=0,1,0)</f>
        <v/>
      </c>
      <c r="H14">
        <f>IF(H12&gt;=0,1,0)</f>
        <v/>
      </c>
      <c r="I14">
        <f>IF(I12&gt;=0,1,0)</f>
        <v/>
      </c>
      <c r="J14">
        <f>IF(J12&gt;=0,1,0)</f>
        <v/>
      </c>
      <c r="K14">
        <f>IF(K12&gt;=0,1,0)</f>
        <v/>
      </c>
      <c r="L14">
        <f>IF(L12&gt;=0,1,0)</f>
        <v/>
      </c>
      <c r="M14">
        <f>IF(M12&gt;=0,1,0)</f>
        <v/>
      </c>
      <c r="N14">
        <f>IF(N12&gt;=0,1,0)</f>
        <v/>
      </c>
    </row>
    <row r="16">
      <c r="A16" t="inlineStr">
        <is>
          <t>Eerste break-even maand</t>
        </is>
      </c>
      <c r="B16">
        <f>IFERROR(MATCH(1,C14:N14,0),"&gt;12 maanden")</f>
        <v/>
      </c>
    </row>
    <row r="17">
      <c r="A17" t="inlineStr">
        <is>
          <t>Minimaal startkapitaal nodig (EUR)</t>
        </is>
      </c>
      <c r="B17" s="9">
        <f>MAX(0,-MIN(C13:N13))</f>
        <v/>
      </c>
    </row>
    <row r="20">
      <c r="A20" s="2" t="inlineStr">
        <is>
          <t>Scenario: Base</t>
        </is>
      </c>
    </row>
    <row r="21">
      <c r="A21" t="inlineStr">
        <is>
          <t>Actieve opdrachtgevers</t>
        </is>
      </c>
      <c r="C21">
        <f>ROUND(Model!C$5/$C$4*IF(Model!C$3&lt;=Aannames!$B$22,Aannames!$B$23,1),0)+Model!C$8</f>
        <v/>
      </c>
      <c r="D21">
        <f>C21+ROUND(Model!D$5/$C$4*IF(Model!D$3&lt;=Aannames!$B$22,Aannames!$B$23,1),0)+Model!D$8-ROUND(C21*$C$3,0)</f>
        <v/>
      </c>
      <c r="E21">
        <f>D21+ROUND(Model!E$5/$C$4*IF(Model!E$3&lt;=Aannames!$B$22,Aannames!$B$23,1),0)+Model!E$8-ROUND(D21*$C$3,0)</f>
        <v/>
      </c>
      <c r="F21">
        <f>E21+ROUND(Model!F$5/$C$4*IF(Model!F$3&lt;=Aannames!$B$22,Aannames!$B$23,1),0)+Model!F$8-ROUND(E21*$C$3,0)</f>
        <v/>
      </c>
      <c r="G21">
        <f>F21+ROUND(Model!G$5/$C$4*IF(Model!G$3&lt;=Aannames!$B$22,Aannames!$B$23,1),0)+Model!G$8-ROUND(F21*$C$3,0)</f>
        <v/>
      </c>
      <c r="H21">
        <f>G21+ROUND(Model!H$5/$C$4*IF(Model!H$3&lt;=Aannames!$B$22,Aannames!$B$23,1),0)+Model!H$8-ROUND(G21*$C$3,0)</f>
        <v/>
      </c>
      <c r="I21">
        <f>H21+ROUND(Model!I$5/$C$4*IF(Model!I$3&lt;=Aannames!$B$22,Aannames!$B$23,1),0)+Model!I$8-ROUND(H21*$C$3,0)</f>
        <v/>
      </c>
      <c r="J21">
        <f>I21+ROUND(Model!J$5/$C$4*IF(Model!J$3&lt;=Aannames!$B$22,Aannames!$B$23,1),0)+Model!J$8-ROUND(I21*$C$3,0)</f>
        <v/>
      </c>
      <c r="K21">
        <f>J21+ROUND(Model!K$5/$C$4*IF(Model!K$3&lt;=Aannames!$B$22,Aannames!$B$23,1),0)+Model!K$8-ROUND(J21*$C$3,0)</f>
        <v/>
      </c>
      <c r="L21">
        <f>K21+ROUND(Model!L$5/$C$4*IF(Model!L$3&lt;=Aannames!$B$22,Aannames!$B$23,1),0)+Model!L$8-ROUND(K21*$C$3,0)</f>
        <v/>
      </c>
      <c r="M21">
        <f>L21+ROUND(Model!M$5/$C$4*IF(Model!M$3&lt;=Aannames!$B$22,Aannames!$B$23,1),0)+Model!M$8-ROUND(L21*$C$3,0)</f>
        <v/>
      </c>
      <c r="N21">
        <f>M21+ROUND(Model!N$5/$C$4*IF(Model!N$3&lt;=Aannames!$B$22,Aannames!$B$23,1),0)+Model!N$8-ROUND(M21*$C$3,0)</f>
        <v/>
      </c>
    </row>
    <row r="22">
      <c r="A22" t="inlineStr">
        <is>
          <t>Totale omzet</t>
        </is>
      </c>
      <c r="C22" s="9">
        <f>(C21*$C$5+IF(Model!C$3&gt;=4,C21*Aannames!$B$11,0))*(1-Model!C$4)+Model!C$16</f>
        <v/>
      </c>
      <c r="D22" s="9">
        <f>(D21*$C$5+IF(Model!D$3&gt;=4,D21*Aannames!$B$11,0))*(1-Model!D$4)+Model!D$16</f>
        <v/>
      </c>
      <c r="E22" s="9">
        <f>(E21*$C$5+IF(Model!E$3&gt;=4,E21*Aannames!$B$11,0))*(1-Model!E$4)+Model!E$16</f>
        <v/>
      </c>
      <c r="F22" s="9">
        <f>(F21*$C$5+IF(Model!F$3&gt;=4,F21*Aannames!$B$11,0))*(1-Model!F$4)+Model!F$16</f>
        <v/>
      </c>
      <c r="G22" s="9">
        <f>(G21*$C$5+IF(Model!G$3&gt;=4,G21*Aannames!$B$11,0))*(1-Model!G$4)+Model!G$16</f>
        <v/>
      </c>
      <c r="H22" s="9">
        <f>(H21*$C$5+IF(Model!H$3&gt;=4,H21*Aannames!$B$11,0))*(1-Model!H$4)+Model!H$16</f>
        <v/>
      </c>
      <c r="I22" s="9">
        <f>(I21*$C$5+IF(Model!I$3&gt;=4,I21*Aannames!$B$11,0))*(1-Model!I$4)+Model!I$16</f>
        <v/>
      </c>
      <c r="J22" s="9">
        <f>(J21*$C$5+IF(Model!J$3&gt;=4,J21*Aannames!$B$11,0))*(1-Model!J$4)+Model!J$16</f>
        <v/>
      </c>
      <c r="K22" s="9">
        <f>(K21*$C$5+IF(Model!K$3&gt;=4,K21*Aannames!$B$11,0))*(1-Model!K$4)+Model!K$16</f>
        <v/>
      </c>
      <c r="L22" s="9">
        <f>(L21*$C$5+IF(Model!L$3&gt;=4,L21*Aannames!$B$11,0))*(1-Model!L$4)+Model!L$16</f>
        <v/>
      </c>
      <c r="M22" s="9">
        <f>(M21*$C$5+IF(Model!M$3&gt;=4,M21*Aannames!$B$11,0))*(1-Model!M$4)+Model!M$16</f>
        <v/>
      </c>
      <c r="N22" s="9">
        <f>(N21*$C$5+IF(Model!N$3&gt;=4,N21*Aannames!$B$11,0))*(1-Model!N$4)+Model!N$16</f>
        <v/>
      </c>
    </row>
    <row r="23">
      <c r="A23" t="inlineStr">
        <is>
          <t>Totale kosten</t>
        </is>
      </c>
      <c r="C23" s="9">
        <f>Model!C$23-Model!C$21+Aannames!$B$14+C21*Aannames!$B$15</f>
        <v/>
      </c>
      <c r="D23" s="9">
        <f>Model!D$23-Model!D$21+Aannames!$B$14+D21*Aannames!$B$15</f>
        <v/>
      </c>
      <c r="E23" s="9">
        <f>Model!E$23-Model!E$21+Aannames!$B$14+E21*Aannames!$B$15</f>
        <v/>
      </c>
      <c r="F23" s="9">
        <f>Model!F$23-Model!F$21+Aannames!$B$14+F21*Aannames!$B$15</f>
        <v/>
      </c>
      <c r="G23" s="9">
        <f>Model!G$23-Model!G$21+Aannames!$B$14+G21*Aannames!$B$15</f>
        <v/>
      </c>
      <c r="H23" s="9">
        <f>Model!H$23-Model!H$21+Aannames!$B$14+H21*Aannames!$B$15</f>
        <v/>
      </c>
      <c r="I23" s="9">
        <f>Model!I$23-Model!I$21+Aannames!$B$14+I21*Aannames!$B$15</f>
        <v/>
      </c>
      <c r="J23" s="9">
        <f>Model!J$23-Model!J$21+Aannames!$B$14+J21*Aannames!$B$15</f>
        <v/>
      </c>
      <c r="K23" s="9">
        <f>Model!K$23-Model!K$21+Aannames!$B$14+K21*Aannames!$B$15</f>
        <v/>
      </c>
      <c r="L23" s="9">
        <f>Model!L$23-Model!L$21+Aannames!$B$14+L21*Aannames!$B$15</f>
        <v/>
      </c>
      <c r="M23" s="9">
        <f>Model!M$23-Model!M$21+Aannames!$B$14+M21*Aannames!$B$15</f>
        <v/>
      </c>
      <c r="N23" s="9">
        <f>Model!N$23-Model!N$21+Aannames!$B$14+N21*Aannames!$B$15</f>
        <v/>
      </c>
    </row>
    <row r="24">
      <c r="A24" t="inlineStr">
        <is>
          <t>Maandresultaat</t>
        </is>
      </c>
      <c r="C24" s="10">
        <f>C22-C23</f>
        <v/>
      </c>
      <c r="D24" s="10">
        <f>D22-D23</f>
        <v/>
      </c>
      <c r="E24" s="10">
        <f>E22-E23</f>
        <v/>
      </c>
      <c r="F24" s="10">
        <f>F22-F23</f>
        <v/>
      </c>
      <c r="G24" s="10">
        <f>G22-G23</f>
        <v/>
      </c>
      <c r="H24" s="10">
        <f>H22-H23</f>
        <v/>
      </c>
      <c r="I24" s="10">
        <f>I22-I23</f>
        <v/>
      </c>
      <c r="J24" s="10">
        <f>J22-J23</f>
        <v/>
      </c>
      <c r="K24" s="10">
        <f>K22-K23</f>
        <v/>
      </c>
      <c r="L24" s="10">
        <f>L22-L23</f>
        <v/>
      </c>
      <c r="M24" s="10">
        <f>M22-M23</f>
        <v/>
      </c>
      <c r="N24" s="10">
        <f>N22-N23</f>
        <v/>
      </c>
    </row>
    <row r="25">
      <c r="A25" t="inlineStr">
        <is>
          <t>Kas zonder startkapitaal</t>
        </is>
      </c>
      <c r="C25" s="10">
        <f>C24</f>
        <v/>
      </c>
      <c r="D25" s="10">
        <f>C25+D24</f>
        <v/>
      </c>
      <c r="E25" s="10">
        <f>D25+E24</f>
        <v/>
      </c>
      <c r="F25" s="10">
        <f>E25+F24</f>
        <v/>
      </c>
      <c r="G25" s="10">
        <f>F25+G24</f>
        <v/>
      </c>
      <c r="H25" s="10">
        <f>G25+H24</f>
        <v/>
      </c>
      <c r="I25" s="10">
        <f>H25+I24</f>
        <v/>
      </c>
      <c r="J25" s="10">
        <f>I25+J24</f>
        <v/>
      </c>
      <c r="K25" s="10">
        <f>J25+K24</f>
        <v/>
      </c>
      <c r="L25" s="10">
        <f>K25+L24</f>
        <v/>
      </c>
      <c r="M25" s="10">
        <f>L25+M24</f>
        <v/>
      </c>
      <c r="N25" s="10">
        <f>M25+N24</f>
        <v/>
      </c>
    </row>
    <row r="26">
      <c r="A26" t="inlineStr">
        <is>
          <t>Positief? (1/0)</t>
        </is>
      </c>
      <c r="C26">
        <f>IF(C24&gt;=0,1,0)</f>
        <v/>
      </c>
      <c r="D26">
        <f>IF(D24&gt;=0,1,0)</f>
        <v/>
      </c>
      <c r="E26">
        <f>IF(E24&gt;=0,1,0)</f>
        <v/>
      </c>
      <c r="F26">
        <f>IF(F24&gt;=0,1,0)</f>
        <v/>
      </c>
      <c r="G26">
        <f>IF(G24&gt;=0,1,0)</f>
        <v/>
      </c>
      <c r="H26">
        <f>IF(H24&gt;=0,1,0)</f>
        <v/>
      </c>
      <c r="I26">
        <f>IF(I24&gt;=0,1,0)</f>
        <v/>
      </c>
      <c r="J26">
        <f>IF(J24&gt;=0,1,0)</f>
        <v/>
      </c>
      <c r="K26">
        <f>IF(K24&gt;=0,1,0)</f>
        <v/>
      </c>
      <c r="L26">
        <f>IF(L24&gt;=0,1,0)</f>
        <v/>
      </c>
      <c r="M26">
        <f>IF(M24&gt;=0,1,0)</f>
        <v/>
      </c>
      <c r="N26">
        <f>IF(N24&gt;=0,1,0)</f>
        <v/>
      </c>
    </row>
    <row r="28">
      <c r="A28" t="inlineStr">
        <is>
          <t>Eerste break-even maand</t>
        </is>
      </c>
      <c r="B28">
        <f>IFERROR(MATCH(1,C26:N26,0),"&gt;12 maanden")</f>
        <v/>
      </c>
    </row>
    <row r="29">
      <c r="A29" t="inlineStr">
        <is>
          <t>Minimaal startkapitaal nodig (EUR)</t>
        </is>
      </c>
      <c r="B29" s="9">
        <f>MAX(0,-MIN(C25:N25))</f>
        <v/>
      </c>
    </row>
    <row r="32">
      <c r="A32" s="2" t="inlineStr">
        <is>
          <t>Scenario: Optimistisch</t>
        </is>
      </c>
    </row>
    <row r="33">
      <c r="A33" t="inlineStr">
        <is>
          <t>Actieve opdrachtgevers</t>
        </is>
      </c>
      <c r="C33">
        <f>ROUND(Model!C$5/$D$4*IF(Model!C$3&lt;=Aannames!$B$22,Aannames!$B$23,1),0)+Model!C$8</f>
        <v/>
      </c>
      <c r="D33">
        <f>C33+ROUND(Model!D$5/$D$4*IF(Model!D$3&lt;=Aannames!$B$22,Aannames!$B$23,1),0)+Model!D$8-ROUND(C33*$D$3,0)</f>
        <v/>
      </c>
      <c r="E33">
        <f>D33+ROUND(Model!E$5/$D$4*IF(Model!E$3&lt;=Aannames!$B$22,Aannames!$B$23,1),0)+Model!E$8-ROUND(D33*$D$3,0)</f>
        <v/>
      </c>
      <c r="F33">
        <f>E33+ROUND(Model!F$5/$D$4*IF(Model!F$3&lt;=Aannames!$B$22,Aannames!$B$23,1),0)+Model!F$8-ROUND(E33*$D$3,0)</f>
        <v/>
      </c>
      <c r="G33">
        <f>F33+ROUND(Model!G$5/$D$4*IF(Model!G$3&lt;=Aannames!$B$22,Aannames!$B$23,1),0)+Model!G$8-ROUND(F33*$D$3,0)</f>
        <v/>
      </c>
      <c r="H33">
        <f>G33+ROUND(Model!H$5/$D$4*IF(Model!H$3&lt;=Aannames!$B$22,Aannames!$B$23,1),0)+Model!H$8-ROUND(G33*$D$3,0)</f>
        <v/>
      </c>
      <c r="I33">
        <f>H33+ROUND(Model!I$5/$D$4*IF(Model!I$3&lt;=Aannames!$B$22,Aannames!$B$23,1),0)+Model!I$8-ROUND(H33*$D$3,0)</f>
        <v/>
      </c>
      <c r="J33">
        <f>I33+ROUND(Model!J$5/$D$4*IF(Model!J$3&lt;=Aannames!$B$22,Aannames!$B$23,1),0)+Model!J$8-ROUND(I33*$D$3,0)</f>
        <v/>
      </c>
      <c r="K33">
        <f>J33+ROUND(Model!K$5/$D$4*IF(Model!K$3&lt;=Aannames!$B$22,Aannames!$B$23,1),0)+Model!K$8-ROUND(J33*$D$3,0)</f>
        <v/>
      </c>
      <c r="L33">
        <f>K33+ROUND(Model!L$5/$D$4*IF(Model!L$3&lt;=Aannames!$B$22,Aannames!$B$23,1),0)+Model!L$8-ROUND(K33*$D$3,0)</f>
        <v/>
      </c>
      <c r="M33">
        <f>L33+ROUND(Model!M$5/$D$4*IF(Model!M$3&lt;=Aannames!$B$22,Aannames!$B$23,1),0)+Model!M$8-ROUND(L33*$D$3,0)</f>
        <v/>
      </c>
      <c r="N33">
        <f>M33+ROUND(Model!N$5/$D$4*IF(Model!N$3&lt;=Aannames!$B$22,Aannames!$B$23,1),0)+Model!N$8-ROUND(M33*$D$3,0)</f>
        <v/>
      </c>
    </row>
    <row r="34">
      <c r="A34" t="inlineStr">
        <is>
          <t>Totale omzet</t>
        </is>
      </c>
      <c r="C34" s="9">
        <f>(C33*$D$5+IF(Model!C$3&gt;=4,C33*Aannames!$B$11,0))*(1-Model!C$4)+Model!C$16</f>
        <v/>
      </c>
      <c r="D34" s="9">
        <f>(D33*$D$5+IF(Model!D$3&gt;=4,D33*Aannames!$B$11,0))*(1-Model!D$4)+Model!D$16</f>
        <v/>
      </c>
      <c r="E34" s="9">
        <f>(E33*$D$5+IF(Model!E$3&gt;=4,E33*Aannames!$B$11,0))*(1-Model!E$4)+Model!E$16</f>
        <v/>
      </c>
      <c r="F34" s="9">
        <f>(F33*$D$5+IF(Model!F$3&gt;=4,F33*Aannames!$B$11,0))*(1-Model!F$4)+Model!F$16</f>
        <v/>
      </c>
      <c r="G34" s="9">
        <f>(G33*$D$5+IF(Model!G$3&gt;=4,G33*Aannames!$B$11,0))*(1-Model!G$4)+Model!G$16</f>
        <v/>
      </c>
      <c r="H34" s="9">
        <f>(H33*$D$5+IF(Model!H$3&gt;=4,H33*Aannames!$B$11,0))*(1-Model!H$4)+Model!H$16</f>
        <v/>
      </c>
      <c r="I34" s="9">
        <f>(I33*$D$5+IF(Model!I$3&gt;=4,I33*Aannames!$B$11,0))*(1-Model!I$4)+Model!I$16</f>
        <v/>
      </c>
      <c r="J34" s="9">
        <f>(J33*$D$5+IF(Model!J$3&gt;=4,J33*Aannames!$B$11,0))*(1-Model!J$4)+Model!J$16</f>
        <v/>
      </c>
      <c r="K34" s="9">
        <f>(K33*$D$5+IF(Model!K$3&gt;=4,K33*Aannames!$B$11,0))*(1-Model!K$4)+Model!K$16</f>
        <v/>
      </c>
      <c r="L34" s="9">
        <f>(L33*$D$5+IF(Model!L$3&gt;=4,L33*Aannames!$B$11,0))*(1-Model!L$4)+Model!L$16</f>
        <v/>
      </c>
      <c r="M34" s="9">
        <f>(M33*$D$5+IF(Model!M$3&gt;=4,M33*Aannames!$B$11,0))*(1-Model!M$4)+Model!M$16</f>
        <v/>
      </c>
      <c r="N34" s="9">
        <f>(N33*$D$5+IF(Model!N$3&gt;=4,N33*Aannames!$B$11,0))*(1-Model!N$4)+Model!N$16</f>
        <v/>
      </c>
    </row>
    <row r="35">
      <c r="A35" t="inlineStr">
        <is>
          <t>Totale kosten</t>
        </is>
      </c>
      <c r="C35" s="9">
        <f>Model!C$23-Model!C$21+Aannames!$B$14+C33*Aannames!$B$15</f>
        <v/>
      </c>
      <c r="D35" s="9">
        <f>Model!D$23-Model!D$21+Aannames!$B$14+D33*Aannames!$B$15</f>
        <v/>
      </c>
      <c r="E35" s="9">
        <f>Model!E$23-Model!E$21+Aannames!$B$14+E33*Aannames!$B$15</f>
        <v/>
      </c>
      <c r="F35" s="9">
        <f>Model!F$23-Model!F$21+Aannames!$B$14+F33*Aannames!$B$15</f>
        <v/>
      </c>
      <c r="G35" s="9">
        <f>Model!G$23-Model!G$21+Aannames!$B$14+G33*Aannames!$B$15</f>
        <v/>
      </c>
      <c r="H35" s="9">
        <f>Model!H$23-Model!H$21+Aannames!$B$14+H33*Aannames!$B$15</f>
        <v/>
      </c>
      <c r="I35" s="9">
        <f>Model!I$23-Model!I$21+Aannames!$B$14+I33*Aannames!$B$15</f>
        <v/>
      </c>
      <c r="J35" s="9">
        <f>Model!J$23-Model!J$21+Aannames!$B$14+J33*Aannames!$B$15</f>
        <v/>
      </c>
      <c r="K35" s="9">
        <f>Model!K$23-Model!K$21+Aannames!$B$14+K33*Aannames!$B$15</f>
        <v/>
      </c>
      <c r="L35" s="9">
        <f>Model!L$23-Model!L$21+Aannames!$B$14+L33*Aannames!$B$15</f>
        <v/>
      </c>
      <c r="M35" s="9">
        <f>Model!M$23-Model!M$21+Aannames!$B$14+M33*Aannames!$B$15</f>
        <v/>
      </c>
      <c r="N35" s="9">
        <f>Model!N$23-Model!N$21+Aannames!$B$14+N33*Aannames!$B$15</f>
        <v/>
      </c>
    </row>
    <row r="36">
      <c r="A36" t="inlineStr">
        <is>
          <t>Maandresultaat</t>
        </is>
      </c>
      <c r="C36" s="10">
        <f>C34-C35</f>
        <v/>
      </c>
      <c r="D36" s="10">
        <f>D34-D35</f>
        <v/>
      </c>
      <c r="E36" s="10">
        <f>E34-E35</f>
        <v/>
      </c>
      <c r="F36" s="10">
        <f>F34-F35</f>
        <v/>
      </c>
      <c r="G36" s="10">
        <f>G34-G35</f>
        <v/>
      </c>
      <c r="H36" s="10">
        <f>H34-H35</f>
        <v/>
      </c>
      <c r="I36" s="10">
        <f>I34-I35</f>
        <v/>
      </c>
      <c r="J36" s="10">
        <f>J34-J35</f>
        <v/>
      </c>
      <c r="K36" s="10">
        <f>K34-K35</f>
        <v/>
      </c>
      <c r="L36" s="10">
        <f>L34-L35</f>
        <v/>
      </c>
      <c r="M36" s="10">
        <f>M34-M35</f>
        <v/>
      </c>
      <c r="N36" s="10">
        <f>N34-N35</f>
        <v/>
      </c>
    </row>
    <row r="37">
      <c r="A37" t="inlineStr">
        <is>
          <t>Kas zonder startkapitaal</t>
        </is>
      </c>
      <c r="C37" s="10">
        <f>C36</f>
        <v/>
      </c>
      <c r="D37" s="10">
        <f>C37+D36</f>
        <v/>
      </c>
      <c r="E37" s="10">
        <f>D37+E36</f>
        <v/>
      </c>
      <c r="F37" s="10">
        <f>E37+F36</f>
        <v/>
      </c>
      <c r="G37" s="10">
        <f>F37+G36</f>
        <v/>
      </c>
      <c r="H37" s="10">
        <f>G37+H36</f>
        <v/>
      </c>
      <c r="I37" s="10">
        <f>H37+I36</f>
        <v/>
      </c>
      <c r="J37" s="10">
        <f>I37+J36</f>
        <v/>
      </c>
      <c r="K37" s="10">
        <f>J37+K36</f>
        <v/>
      </c>
      <c r="L37" s="10">
        <f>K37+L36</f>
        <v/>
      </c>
      <c r="M37" s="10">
        <f>L37+M36</f>
        <v/>
      </c>
      <c r="N37" s="10">
        <f>M37+N36</f>
        <v/>
      </c>
    </row>
    <row r="38">
      <c r="A38" t="inlineStr">
        <is>
          <t>Positief? (1/0)</t>
        </is>
      </c>
      <c r="C38">
        <f>IF(C36&gt;=0,1,0)</f>
        <v/>
      </c>
      <c r="D38">
        <f>IF(D36&gt;=0,1,0)</f>
        <v/>
      </c>
      <c r="E38">
        <f>IF(E36&gt;=0,1,0)</f>
        <v/>
      </c>
      <c r="F38">
        <f>IF(F36&gt;=0,1,0)</f>
        <v/>
      </c>
      <c r="G38">
        <f>IF(G36&gt;=0,1,0)</f>
        <v/>
      </c>
      <c r="H38">
        <f>IF(H36&gt;=0,1,0)</f>
        <v/>
      </c>
      <c r="I38">
        <f>IF(I36&gt;=0,1,0)</f>
        <v/>
      </c>
      <c r="J38">
        <f>IF(J36&gt;=0,1,0)</f>
        <v/>
      </c>
      <c r="K38">
        <f>IF(K36&gt;=0,1,0)</f>
        <v/>
      </c>
      <c r="L38">
        <f>IF(L36&gt;=0,1,0)</f>
        <v/>
      </c>
      <c r="M38">
        <f>IF(M36&gt;=0,1,0)</f>
        <v/>
      </c>
      <c r="N38">
        <f>IF(N36&gt;=0,1,0)</f>
        <v/>
      </c>
    </row>
    <row r="40">
      <c r="A40" t="inlineStr">
        <is>
          <t>Eerste break-even maand</t>
        </is>
      </c>
      <c r="B40">
        <f>IFERROR(MATCH(1,C38:N38,0),"&gt;12 maanden")</f>
        <v/>
      </c>
    </row>
    <row r="41">
      <c r="A41" t="inlineStr">
        <is>
          <t>Minimaal startkapitaal nodig (EUR)</t>
        </is>
      </c>
      <c r="B41" s="9">
        <f>MAX(0,-MIN(C37:N37))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32" customWidth="1" min="4" max="4"/>
    <col width="22" customWidth="1" min="5" max="5"/>
  </cols>
  <sheetData>
    <row r="1">
      <c r="A1" s="1" t="inlineStr">
        <is>
          <t>Fasen &amp; KPI's — model tegen het businessplan</t>
        </is>
      </c>
    </row>
    <row r="3">
      <c r="A3" s="2" t="inlineStr">
        <is>
          <t>Fase</t>
        </is>
      </c>
      <c r="B3" s="2" t="inlineStr">
        <is>
          <t>Periode</t>
        </is>
      </c>
      <c r="C3" s="2" t="inlineStr">
        <is>
          <t>Doelen (businessplan)</t>
        </is>
      </c>
      <c r="D3" s="2" t="inlineStr">
        <is>
          <t>Break-even-criterium</t>
        </is>
      </c>
      <c r="E3" s="2" t="inlineStr">
        <is>
          <t>Model-prognose (base)</t>
        </is>
      </c>
    </row>
    <row r="4">
      <c r="A4" t="inlineStr">
        <is>
          <t>Fase 1 – NL product-market fit</t>
        </is>
      </c>
      <c r="B4" t="inlineStr">
        <is>
          <t>Maand 0–6</t>
        </is>
      </c>
      <c r="C4" t="inlineStr">
        <is>
          <t>Gratis beta (maand 1–3), daarna eerste betalende klanten; 10–25 opdrachtgevers</t>
        </is>
      </c>
      <c r="D4" t="inlineStr">
        <is>
          <t>Maandresultaat structureel &gt;= 0</t>
        </is>
      </c>
      <c r="E4" s="10">
        <f>Model!H18</f>
        <v/>
      </c>
    </row>
    <row r="5">
      <c r="A5" t="inlineStr">
        <is>
          <t>Fase 2 – verbreding + eerste export</t>
        </is>
      </c>
      <c r="B5" t="inlineStr">
        <is>
          <t>Maand 6–18</t>
        </is>
      </c>
      <c r="C5" t="inlineStr">
        <is>
          <t>Abonnementen volledig, 100 opdrachtgevers, ~EUR 15k MRR-doel, UK (IR35) launch</t>
        </is>
      </c>
      <c r="D5" t="inlineStr">
        <is>
          <t>MRR &gt;= totale kosten</t>
        </is>
      </c>
      <c r="E5" s="10">
        <f>Model!N18</f>
        <v/>
      </c>
    </row>
    <row r="6">
      <c r="A6" t="inlineStr">
        <is>
          <t>Fase 3 – platform &amp; internationaal</t>
        </is>
      </c>
      <c r="B6" t="inlineStr">
        <is>
          <t>Maand 18–48</t>
        </is>
      </c>
      <c r="C6" t="inlineStr">
        <is>
          <t>Rules-as-code engine, API/resellers, BE/DE/ES</t>
        </is>
      </c>
      <c r="D6" t="inlineStr">
        <is>
          <t>EBITDA-positief per markt</t>
        </is>
      </c>
      <c r="E6" t="inlineStr">
        <is>
          <t>buiten modelvenster</t>
        </is>
      </c>
    </row>
    <row r="8">
      <c r="A8" s="7" t="inlineStr">
        <is>
          <t>KPI-doelen (maand 12)</t>
        </is>
      </c>
    </row>
    <row r="9">
      <c r="A9" t="inlineStr">
        <is>
          <t>CAC (marketing) &lt;= EUR 600</t>
        </is>
      </c>
      <c r="B9" s="9">
        <f>Model!N28</f>
        <v/>
      </c>
    </row>
    <row r="10">
      <c r="A10" t="inlineStr">
        <is>
          <t>LTV / CAC &gt;= 3</t>
        </is>
      </c>
      <c r="B10" s="11">
        <f>Model!N30</f>
        <v/>
      </c>
    </row>
    <row r="11">
      <c r="A11" t="inlineStr">
        <is>
          <t>Maandelijkse churn &lt;= 3%</t>
        </is>
      </c>
      <c r="B11" s="12">
        <f>Aannames!B7</f>
        <v/>
      </c>
    </row>
    <row r="12">
      <c r="A12" t="inlineStr">
        <is>
          <t>Omzet per maand (incl. ZZP + commissies)</t>
        </is>
      </c>
      <c r="B12" s="9">
        <f>Model!N18</f>
        <v/>
      </c>
    </row>
    <row r="13">
      <c r="A13" t="inlineStr">
        <is>
          <t>Minimaal startkapitaal (base)</t>
        </is>
      </c>
      <c r="B13" s="9">
        <f>Scenario!B29</f>
        <v/>
      </c>
    </row>
    <row r="14">
      <c r="A14" t="inlineStr">
        <is>
          <t>Minimaal startkapitaal (pessimistisch)</t>
        </is>
      </c>
      <c r="B14" s="9">
        <f>Scenario!B17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2026-10-10T13:14:47Z</dcterms:created>
  <dcterms:modified xsi:type="dcterms:W3CDTF">2026-10-10T13:14:47Z</dcterms:modified>
</cp:coreProperties>
</file>